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xr:revisionPtr revIDLastSave="0" documentId="8_{BCF8EB1A-66E6-4833-B233-F3DBBD802308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Read Me" sheetId="1" r:id="rId1"/>
    <sheet name="Team Member Info" sheetId="2" r:id="rId2"/>
    <sheet name="Project Lookup" sheetId="3" r:id="rId3"/>
    <sheet name="Project Allocations" sheetId="4" r:id="rId4"/>
    <sheet name="Recurring Work Detail" sheetId="5" r:id="rId5"/>
    <sheet name="Capacity Summary" sheetId="6" r:id="rId6"/>
  </sheets>
  <definedNames>
    <definedName name="ProjectNames">'Project Lookup'!$B$2:$B$39</definedName>
    <definedName name="WeeklyCapacityHrs">'Team Member Info'!$B$7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A4" i="4"/>
  <c r="B12" i="6"/>
  <c r="D12" i="6" s="1"/>
  <c r="B11" i="6"/>
  <c r="D11" i="6" s="1"/>
  <c r="B8" i="6"/>
  <c r="B6" i="6"/>
  <c r="B5" i="6"/>
  <c r="D64" i="4"/>
  <c r="C64" i="4"/>
  <c r="I63" i="4"/>
  <c r="H63" i="4"/>
  <c r="G63" i="4"/>
  <c r="A63" i="4"/>
  <c r="I62" i="4"/>
  <c r="H62" i="4"/>
  <c r="G62" i="4"/>
  <c r="A62" i="4"/>
  <c r="I61" i="4"/>
  <c r="H61" i="4"/>
  <c r="G61" i="4"/>
  <c r="A61" i="4"/>
  <c r="I60" i="4"/>
  <c r="H60" i="4"/>
  <c r="G60" i="4"/>
  <c r="A60" i="4"/>
  <c r="I59" i="4"/>
  <c r="H59" i="4"/>
  <c r="G59" i="4"/>
  <c r="A59" i="4"/>
  <c r="I58" i="4"/>
  <c r="H58" i="4"/>
  <c r="G58" i="4"/>
  <c r="A58" i="4"/>
  <c r="I57" i="4"/>
  <c r="H57" i="4"/>
  <c r="G57" i="4"/>
  <c r="A57" i="4"/>
  <c r="I56" i="4"/>
  <c r="H56" i="4"/>
  <c r="G56" i="4"/>
  <c r="A56" i="4"/>
  <c r="I55" i="4"/>
  <c r="H55" i="4"/>
  <c r="G55" i="4"/>
  <c r="A55" i="4"/>
  <c r="I54" i="4"/>
  <c r="H54" i="4"/>
  <c r="G54" i="4"/>
  <c r="A54" i="4"/>
  <c r="I53" i="4"/>
  <c r="H53" i="4"/>
  <c r="G53" i="4"/>
  <c r="A53" i="4"/>
  <c r="I52" i="4"/>
  <c r="H52" i="4"/>
  <c r="G52" i="4"/>
  <c r="A52" i="4"/>
  <c r="I51" i="4"/>
  <c r="H51" i="4"/>
  <c r="G51" i="4"/>
  <c r="A51" i="4"/>
  <c r="I50" i="4"/>
  <c r="H50" i="4"/>
  <c r="G50" i="4"/>
  <c r="A50" i="4"/>
  <c r="I49" i="4"/>
  <c r="H49" i="4"/>
  <c r="G49" i="4"/>
  <c r="A49" i="4"/>
  <c r="I48" i="4"/>
  <c r="H48" i="4"/>
  <c r="G48" i="4"/>
  <c r="A48" i="4"/>
  <c r="I47" i="4"/>
  <c r="H47" i="4"/>
  <c r="G47" i="4"/>
  <c r="A47" i="4"/>
  <c r="I46" i="4"/>
  <c r="H46" i="4"/>
  <c r="G46" i="4"/>
  <c r="A46" i="4"/>
  <c r="I45" i="4"/>
  <c r="H45" i="4"/>
  <c r="G45" i="4"/>
  <c r="A45" i="4"/>
  <c r="I44" i="4"/>
  <c r="H44" i="4"/>
  <c r="G44" i="4"/>
  <c r="A44" i="4"/>
  <c r="I43" i="4"/>
  <c r="H43" i="4"/>
  <c r="G43" i="4"/>
  <c r="A43" i="4"/>
  <c r="I42" i="4"/>
  <c r="H42" i="4"/>
  <c r="G42" i="4"/>
  <c r="A42" i="4"/>
  <c r="I41" i="4"/>
  <c r="H41" i="4"/>
  <c r="G41" i="4"/>
  <c r="A41" i="4"/>
  <c r="I40" i="4"/>
  <c r="H40" i="4"/>
  <c r="G40" i="4"/>
  <c r="A40" i="4"/>
  <c r="I39" i="4"/>
  <c r="H39" i="4"/>
  <c r="G39" i="4"/>
  <c r="A39" i="4"/>
  <c r="I38" i="4"/>
  <c r="H38" i="4"/>
  <c r="G38" i="4"/>
  <c r="A38" i="4"/>
  <c r="I37" i="4"/>
  <c r="H37" i="4"/>
  <c r="G37" i="4"/>
  <c r="A37" i="4"/>
  <c r="I36" i="4"/>
  <c r="H36" i="4"/>
  <c r="G36" i="4"/>
  <c r="A36" i="4"/>
  <c r="I35" i="4"/>
  <c r="H35" i="4"/>
  <c r="G35" i="4"/>
  <c r="A35" i="4"/>
  <c r="I34" i="4"/>
  <c r="H34" i="4"/>
  <c r="G34" i="4"/>
  <c r="A34" i="4"/>
  <c r="I33" i="4"/>
  <c r="H33" i="4"/>
  <c r="G33" i="4"/>
  <c r="A33" i="4"/>
  <c r="I32" i="4"/>
  <c r="H32" i="4"/>
  <c r="G32" i="4"/>
  <c r="A32" i="4"/>
  <c r="I31" i="4"/>
  <c r="H31" i="4"/>
  <c r="G31" i="4"/>
  <c r="A31" i="4"/>
  <c r="I30" i="4"/>
  <c r="H30" i="4"/>
  <c r="G30" i="4"/>
  <c r="A30" i="4"/>
  <c r="I29" i="4"/>
  <c r="H29" i="4"/>
  <c r="G29" i="4"/>
  <c r="A29" i="4"/>
  <c r="I28" i="4"/>
  <c r="H28" i="4"/>
  <c r="G28" i="4"/>
  <c r="A28" i="4"/>
  <c r="I27" i="4"/>
  <c r="H27" i="4"/>
  <c r="G27" i="4"/>
  <c r="A27" i="4"/>
  <c r="I26" i="4"/>
  <c r="H26" i="4"/>
  <c r="G26" i="4"/>
  <c r="A26" i="4"/>
  <c r="I25" i="4"/>
  <c r="H25" i="4"/>
  <c r="G25" i="4"/>
  <c r="A25" i="4"/>
  <c r="I24" i="4"/>
  <c r="H24" i="4"/>
  <c r="G24" i="4"/>
  <c r="A24" i="4"/>
  <c r="I23" i="4"/>
  <c r="H23" i="4"/>
  <c r="G23" i="4"/>
  <c r="A23" i="4"/>
  <c r="I22" i="4"/>
  <c r="H22" i="4"/>
  <c r="G22" i="4"/>
  <c r="A22" i="4"/>
  <c r="I21" i="4"/>
  <c r="H21" i="4"/>
  <c r="G21" i="4"/>
  <c r="A21" i="4"/>
  <c r="I20" i="4"/>
  <c r="H20" i="4"/>
  <c r="G20" i="4"/>
  <c r="A20" i="4"/>
  <c r="I19" i="4"/>
  <c r="H19" i="4"/>
  <c r="G19" i="4"/>
  <c r="A19" i="4"/>
  <c r="I18" i="4"/>
  <c r="H18" i="4"/>
  <c r="G18" i="4"/>
  <c r="A18" i="4"/>
  <c r="I17" i="4"/>
  <c r="H17" i="4"/>
  <c r="G17" i="4"/>
  <c r="A17" i="4"/>
  <c r="I16" i="4"/>
  <c r="H16" i="4"/>
  <c r="G16" i="4"/>
  <c r="A16" i="4"/>
  <c r="I15" i="4"/>
  <c r="H15" i="4"/>
  <c r="G15" i="4"/>
  <c r="A15" i="4"/>
  <c r="I14" i="4"/>
  <c r="H14" i="4"/>
  <c r="G14" i="4"/>
  <c r="A14" i="4"/>
  <c r="I13" i="4"/>
  <c r="H13" i="4"/>
  <c r="G13" i="4"/>
  <c r="A13" i="4"/>
  <c r="I12" i="4"/>
  <c r="H12" i="4"/>
  <c r="G12" i="4"/>
  <c r="A12" i="4"/>
  <c r="I11" i="4"/>
  <c r="H11" i="4"/>
  <c r="G11" i="4"/>
  <c r="A11" i="4"/>
  <c r="I10" i="4"/>
  <c r="H10" i="4"/>
  <c r="G10" i="4"/>
  <c r="A10" i="4"/>
  <c r="I9" i="4"/>
  <c r="H9" i="4"/>
  <c r="G9" i="4"/>
  <c r="A9" i="4"/>
  <c r="I8" i="4"/>
  <c r="H8" i="4"/>
  <c r="G8" i="4"/>
  <c r="A8" i="4"/>
  <c r="I7" i="4"/>
  <c r="H7" i="4"/>
  <c r="G7" i="4"/>
  <c r="A7" i="4"/>
  <c r="I6" i="4"/>
  <c r="H6" i="4"/>
  <c r="G6" i="4"/>
  <c r="A6" i="4"/>
  <c r="I5" i="4"/>
  <c r="H5" i="4"/>
  <c r="G5" i="4"/>
  <c r="A5" i="4"/>
  <c r="I4" i="4"/>
  <c r="H4" i="4"/>
  <c r="H64" i="4" s="1"/>
  <c r="G4" i="4"/>
  <c r="G64" i="4" s="1"/>
  <c r="B7" i="6" l="1"/>
  <c r="D6" i="6"/>
  <c r="B10" i="6"/>
  <c r="B9" i="6"/>
  <c r="D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C3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Approximate percentage of weekly capacity spent on this item during the past/current two weeks. Enter as a whole number (25 = 25%).</t>
        </r>
      </text>
    </comment>
    <comment ref="D3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Expected percentage of weekly capacity for the upcoming two weeks only. Enter as a whole number (25 = 25%).</t>
        </r>
      </text>
    </comment>
    <comment ref="E3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How confident are you in the upcoming 2-week estimate? Use Low when priorities, dependencies, or scope are uncertain.</t>
        </r>
      </text>
    </comment>
    <comment ref="F3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How well does this work match your strongest skills/current role? This helps identify whether people are on the right work.</t>
        </r>
      </text>
    </comment>
    <comment ref="I3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Calculated comparison of upcoming vs. past/current allocation.</t>
        </r>
      </text>
    </comment>
  </commentList>
</comments>
</file>

<file path=xl/sharedStrings.xml><?xml version="1.0" encoding="utf-8"?>
<sst xmlns="http://schemas.openxmlformats.org/spreadsheetml/2006/main" count="244" uniqueCount="165">
  <si>
    <t>IGT Team Member Capacity Intake Template</t>
  </si>
  <si>
    <t>Purpose</t>
  </si>
  <si>
    <t>Use this workbook to collect consistent capacity information from each person so their past/current 2-week allocation and upcoming 2-week allocation can be plugged into IGT_Resource_Planning-v1.2.xlsx.</t>
  </si>
  <si>
    <t>What each team member should complete</t>
  </si>
  <si>
    <t>1. Complete the Team Member Info sheet first. Blue cells are inputs.</t>
  </si>
  <si>
    <t>2. On Project Allocations, enter one row per project or work stream you spent time on.</t>
  </si>
  <si>
    <t>3. Fill in Past/Current 2 Weeks % and Upcoming 2 Weeks % as whole numbers (25 = 25%).</t>
  </si>
  <si>
    <t>4. Choose Confidence and Skills Alignment for each row so uncertain estimates and role/project fit issues are visible.</t>
  </si>
  <si>
    <t>5. Use the Recurring Work Detail tab to capture ongoing operational work so your total capacity is not understated.</t>
  </si>
  <si>
    <t>4. If a project is not listed, choose Other / Missing Project and describe it in Notes.</t>
  </si>
  <si>
    <t>7. Check the Capacity Summary sheet before sending it back. Anything above 100% should be reviewed with your manager.</t>
  </si>
  <si>
    <t>Color Legend</t>
  </si>
  <si>
    <t>Blue</t>
  </si>
  <si>
    <t>Team member inputs</t>
  </si>
  <si>
    <t>Gray</t>
  </si>
  <si>
    <t>Formulas / calculated values</t>
  </si>
  <si>
    <t>Yellow</t>
  </si>
  <si>
    <t>Review needed</t>
  </si>
  <si>
    <t>Green</t>
  </si>
  <si>
    <t>Project list</t>
  </si>
  <si>
    <t>This version intentionally asks only for past/current 2-week and upcoming 2-week allocation inputs.</t>
  </si>
  <si>
    <t>Team Member Info</t>
  </si>
  <si>
    <t>Name</t>
  </si>
  <si>
    <t>Quick guidance</t>
  </si>
  <si>
    <t>Role</t>
  </si>
  <si>
    <t>• Weekly Capacity should reflect actual available work hours, not automatically 40 if reduced.</t>
  </si>
  <si>
    <t>Manager</t>
  </si>
  <si>
    <t>• Past/current allocation helps identify where time has actually been going.</t>
  </si>
  <si>
    <t>Location / Time Zone</t>
  </si>
  <si>
    <t>• Upcoming allocation supports the next 8-week capacity vs. demand view.</t>
  </si>
  <si>
    <t>Weekly Capacity (hrs)</t>
  </si>
  <si>
    <t>• Include recurring operational work, meetings, support, and maintenance, not just named projects.</t>
  </si>
  <si>
    <t>Planning Start Date</t>
  </si>
  <si>
    <t>Submission Date</t>
  </si>
  <si>
    <t>Any planned PTO / OOO during the 8-week window?</t>
  </si>
  <si>
    <t>Primary skill set / tools</t>
  </si>
  <si>
    <t>Comments / constraints</t>
  </si>
  <si>
    <t>Project ID</t>
  </si>
  <si>
    <t>Project Name</t>
  </si>
  <si>
    <t>Default Category</t>
  </si>
  <si>
    <t>Status / Treatment</t>
  </si>
  <si>
    <t>Notes</t>
  </si>
  <si>
    <t>P0001</t>
  </si>
  <si>
    <t>Atlas Migration</t>
  </si>
  <si>
    <t>Data Platform / Migration</t>
  </si>
  <si>
    <t>Select in Project Allocations as applicable</t>
  </si>
  <si>
    <t>P0002</t>
  </si>
  <si>
    <t>Tableau Migration</t>
  </si>
  <si>
    <t>P0003</t>
  </si>
  <si>
    <t>Expense &amp; Budget Report</t>
  </si>
  <si>
    <t>Dashboard / Reporting</t>
  </si>
  <si>
    <t>P0004</t>
  </si>
  <si>
    <t>Game Performance Phases 2-3</t>
  </si>
  <si>
    <t>Project</t>
  </si>
  <si>
    <t>P0005</t>
  </si>
  <si>
    <t>AID Dashboard</t>
  </si>
  <si>
    <t>P0006</t>
  </si>
  <si>
    <t>Combined EGM Day (Specialty)</t>
  </si>
  <si>
    <t>P0007</t>
  </si>
  <si>
    <t>R&amp;O Custom Application</t>
  </si>
  <si>
    <t>P0008</t>
  </si>
  <si>
    <t>LBG-Executive Overview Dashboard</t>
  </si>
  <si>
    <t>P0009</t>
  </si>
  <si>
    <t>Commercial Reporting</t>
  </si>
  <si>
    <t>P0010</t>
  </si>
  <si>
    <t>Domenico weekly Reporting</t>
  </si>
  <si>
    <t>P0011</t>
  </si>
  <si>
    <t>Aggregated AIB</t>
  </si>
  <si>
    <t>P0012</t>
  </si>
  <si>
    <t>Math Model Comparison Dashboard</t>
  </si>
  <si>
    <t>P0013</t>
  </si>
  <si>
    <t>Fleet Management</t>
  </si>
  <si>
    <t>P0014</t>
  </si>
  <si>
    <t>Data Quality Rules / Frame Work (Customer Report and Session)</t>
  </si>
  <si>
    <t>P0015</t>
  </si>
  <si>
    <t>Demand Forecast</t>
  </si>
  <si>
    <t>Data Science / Predictive Analytics</t>
  </si>
  <si>
    <t>P0016</t>
  </si>
  <si>
    <t>Eilers Cabinet Sales Prediction (Cabinet Sales Forecast)</t>
  </si>
  <si>
    <t>P0017</t>
  </si>
  <si>
    <t>View on removals and installs to undersatnd product Churn</t>
  </si>
  <si>
    <t>P0018</t>
  </si>
  <si>
    <t>Sourcing Other Game performance (Not just L-Everi)</t>
  </si>
  <si>
    <t>P0019</t>
  </si>
  <si>
    <t>SuperModel Development</t>
  </si>
  <si>
    <t>P0020</t>
  </si>
  <si>
    <t>Universal Brand Licensing Financial Model</t>
  </si>
  <si>
    <t>P0021</t>
  </si>
  <si>
    <t>IGT Pay</t>
  </si>
  <si>
    <t>Finance / Fintech</t>
  </si>
  <si>
    <t>P0022</t>
  </si>
  <si>
    <t>Fintech Credit Crard - Quik Ticket</t>
  </si>
  <si>
    <t>P0023</t>
  </si>
  <si>
    <t>Fintech: Bitline go live at the Wynn</t>
  </si>
  <si>
    <t>P0024</t>
  </si>
  <si>
    <t>Accrual Process</t>
  </si>
  <si>
    <t>P0025</t>
  </si>
  <si>
    <t>Royalties Process</t>
  </si>
  <si>
    <t>P0026</t>
  </si>
  <si>
    <t>Game Grading Analysis</t>
  </si>
  <si>
    <t>P0027</t>
  </si>
  <si>
    <t>Databricks RBAC model testing (Data Governance)</t>
  </si>
  <si>
    <t>P0028</t>
  </si>
  <si>
    <t>Notificatoin Form Automation</t>
  </si>
  <si>
    <t>P0029</t>
  </si>
  <si>
    <t>Land Based Gaming</t>
  </si>
  <si>
    <t>P0030</t>
  </si>
  <si>
    <t>Eilers Game Genie POC</t>
  </si>
  <si>
    <t>P0031</t>
  </si>
  <si>
    <t>Census</t>
  </si>
  <si>
    <t>P0032</t>
  </si>
  <si>
    <t>Contract Master</t>
  </si>
  <si>
    <t>P0033</t>
  </si>
  <si>
    <t>Orbit</t>
  </si>
  <si>
    <t>N/A</t>
  </si>
  <si>
    <t>Recurring Tasks / Responsibilities (not mentioned on this table)</t>
  </si>
  <si>
    <t>Recurring / Non-project</t>
  </si>
  <si>
    <t>OTHER</t>
  </si>
  <si>
    <t>Other / Missing Project - describe in notes</t>
  </si>
  <si>
    <t>Recurring Tasks / Responsibilities</t>
  </si>
  <si>
    <t>Support / Ad Hoc / Interrupt Work</t>
  </si>
  <si>
    <t>PTO / OOO / Holiday / Reduced Capacity</t>
  </si>
  <si>
    <t>Project Allocations - 2-Week Team Member Entry</t>
  </si>
  <si>
    <t>Enter one row per project or work stream. Only fill in past/current 2-week and upcoming 2-week estimates as whole-number percentages (example: enter 25 for 25%). Dustin will derive the longer-range planning view separately.</t>
  </si>
  <si>
    <t>Past/Current 2 Weeks %</t>
  </si>
  <si>
    <t>Upcoming 2 Weeks %</t>
  </si>
  <si>
    <t>Confidence</t>
  </si>
  <si>
    <t>Skills Alignment</t>
  </si>
  <si>
    <t>Past/Current Hrs/Wk</t>
  </si>
  <si>
    <t>Upcoming Hrs/Wk</t>
  </si>
  <si>
    <t>Direction of Change</t>
  </si>
  <si>
    <t>Manager / Project Owner</t>
  </si>
  <si>
    <t>Key Deliverables / Work Description</t>
  </si>
  <si>
    <t>TOTAL</t>
  </si>
  <si>
    <t>Recurring Responsibilities / Non-project Work Detail</t>
  </si>
  <si>
    <t>Use this sheet when recurring or operational work needs more detail than a single project allocation row.</t>
  </si>
  <si>
    <t>Category</t>
  </si>
  <si>
    <t>Description</t>
  </si>
  <si>
    <t>Frequency</t>
  </si>
  <si>
    <t>Avg Hrs / Week</t>
  </si>
  <si>
    <t>Backup / SME</t>
  </si>
  <si>
    <t>Capacity Summary</t>
  </si>
  <si>
    <t>This summary uses only past/current 2-week and upcoming 2-week information. Percentages are entered as whole numbers on the Project Allocations tab.</t>
  </si>
  <si>
    <t>Metric</t>
  </si>
  <si>
    <t>Value</t>
  </si>
  <si>
    <t>Unit</t>
  </si>
  <si>
    <t>Review Flag</t>
  </si>
  <si>
    <t>Weekly Capacity</t>
  </si>
  <si>
    <t>hours</t>
  </si>
  <si>
    <t>Past/Current 2 Weeks Total Allocation</t>
  </si>
  <si>
    <t>%</t>
  </si>
  <si>
    <t>Past/Current Allocated Hrs/Wk</t>
  </si>
  <si>
    <t>hours/week</t>
  </si>
  <si>
    <t>Upcoming 2 Weeks Total Allocation</t>
  </si>
  <si>
    <t>Upcoming Allocated Hrs/Wk</t>
  </si>
  <si>
    <t>Net Allocation Change</t>
  </si>
  <si>
    <t>percentage points</t>
  </si>
  <si>
    <t>Low Confidence Items</t>
  </si>
  <si>
    <t>count</t>
  </si>
  <si>
    <t>Weak Skills Match Items</t>
  </si>
  <si>
    <t>Top handoff guidance</t>
  </si>
  <si>
    <t>• If Upcoming 2 Weeks total is over 100%, review priority and possible reallocation.</t>
  </si>
  <si>
    <t>• Low confidence entries mean the next 2-week plan is uncertain and may need manager validation.</t>
  </si>
  <si>
    <t>• Weak skills-match entries may indicate the person is not on the best-fit work or is carrying avoidable support/maintenance load.</t>
  </si>
  <si>
    <t>• Use the Upcoming 2 Weeks allocation as the primary near-term demand input for the master resource planning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</si>
</sst>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&quot;%&quot;"/>
  </numFmts>
  <fonts count="7">
    <font>
      <sz val="11"/>
      <color theme="1"/>
      <name val="Calibri"/>
      <family val="2"/>
      <scheme val="minor"/>
    </font>
    <font>
      <b/>
      <sz val="18"/>
      <color rgb="FF1F4E78"/>
      <name val="Calibri"/>
    </font>
    <font>
      <b/>
      <sz val="12"/>
      <color rgb="FF1F4E78"/>
      <name val="Calibri"/>
    </font>
    <font>
      <b/>
      <sz val="11"/>
      <name val="Calibri"/>
    </font>
    <font>
      <b/>
      <sz val="16"/>
      <color rgb="FF1F4E78"/>
      <name val="Calibri"/>
    </font>
    <font>
      <b/>
      <sz val="11"/>
      <color rgb="FF1F4E78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B4C6E7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medium">
        <color rgb="FF1F4E78"/>
      </bottom>
      <diagonal/>
    </border>
    <border>
      <left/>
      <right/>
      <top style="medium">
        <color rgb="FF1F4E78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164" fontId="0" fillId="2" borderId="1" xfId="0" applyNumberForma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wrapText="1"/>
    </xf>
    <xf numFmtId="0" fontId="3" fillId="2" borderId="0" xfId="0" applyFont="1" applyFill="1" applyAlignment="1">
      <alignment vertical="top"/>
    </xf>
    <xf numFmtId="0" fontId="3" fillId="3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4" fillId="0" borderId="0" xfId="0" applyFont="1"/>
    <xf numFmtId="0" fontId="6" fillId="7" borderId="2" xfId="0" applyFont="1" applyFill="1" applyBorder="1" applyAlignment="1">
      <alignment horizontal="center" vertical="center" wrapText="1"/>
    </xf>
    <xf numFmtId="0" fontId="3" fillId="0" borderId="0" xfId="0" applyFont="1"/>
    <xf numFmtId="164" fontId="3" fillId="4" borderId="3" xfId="0" applyNumberFormat="1" applyFont="1" applyFill="1" applyBorder="1"/>
    <xf numFmtId="0" fontId="6" fillId="7" borderId="0" xfId="0" applyFont="1" applyFill="1" applyAlignment="1">
      <alignment horizontal="center"/>
    </xf>
    <xf numFmtId="0" fontId="2" fillId="0" borderId="0" xfId="0" applyFont="1"/>
    <xf numFmtId="1" fontId="0" fillId="3" borderId="1" xfId="0" applyNumberFormat="1" applyFill="1" applyBorder="1" applyAlignment="1">
      <alignment vertical="top" wrapText="1"/>
    </xf>
    <xf numFmtId="165" fontId="0" fillId="2" borderId="1" xfId="0" applyNumberFormat="1" applyFill="1" applyBorder="1" applyAlignment="1">
      <alignment vertical="top" wrapText="1"/>
    </xf>
    <xf numFmtId="165" fontId="3" fillId="4" borderId="3" xfId="0" applyNumberFormat="1" applyFont="1" applyFill="1" applyBorder="1"/>
    <xf numFmtId="0" fontId="6" fillId="7" borderId="0" xfId="0" applyFont="1" applyFill="1" applyAlignment="1">
      <alignment horizontal="center" wrapText="1"/>
    </xf>
    <xf numFmtId="165" fontId="0" fillId="3" borderId="1" xfId="0" applyNumberFormat="1" applyFill="1" applyBorder="1" applyAlignment="1">
      <alignment vertical="top" wrapText="1"/>
    </xf>
    <xf numFmtId="14" fontId="0" fillId="3" borderId="1" xfId="0" applyNumberFormat="1" applyFill="1" applyBorder="1" applyAlignment="1">
      <alignment vertical="top" wrapText="1"/>
    </xf>
    <xf numFmtId="0" fontId="6" fillId="7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vertical="top"/>
    </xf>
    <xf numFmtId="0" fontId="3" fillId="6" borderId="1" xfId="0" applyFont="1" applyFill="1" applyBorder="1" applyAlignment="1">
      <alignment vertical="top"/>
    </xf>
    <xf numFmtId="0" fontId="5" fillId="0" borderId="0" xfId="0" applyFont="1" applyAlignment="1">
      <alignment vertical="top"/>
    </xf>
    <xf numFmtId="0" fontId="6" fillId="7" borderId="1" xfId="0" applyFont="1" applyFill="1" applyBorder="1" applyAlignment="1">
      <alignment vertical="top" wrapText="1"/>
    </xf>
  </cellXfs>
  <cellStyles count="1">
    <cellStyle name="Normal" xfId="0" builtinId="0"/>
  </cellStyles>
  <dxfs count="6"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LookupTable" displayName="ProjectLookupTable" ref="A1:E39">
  <autoFilter ref="A1:E39" xr:uid="{00000000-0009-0000-0100-000001000000}"/>
  <tableColumns count="5">
    <tableColumn id="1" xr3:uid="{00000000-0010-0000-0000-000001000000}" name="Project ID"/>
    <tableColumn id="2" xr3:uid="{00000000-0010-0000-0000-000002000000}" name="Project Name"/>
    <tableColumn id="3" xr3:uid="{00000000-0010-0000-0000-000003000000}" name="Default Category"/>
    <tableColumn id="4" xr3:uid="{00000000-0010-0000-0000-000004000000}" name="Status / Treatment"/>
    <tableColumn id="5" xr3:uid="{00000000-0010-0000-0000-000005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jectAllocationEntry2Week" displayName="ProjectAllocationEntry2Week" ref="A3:L63">
  <autoFilter ref="A3:L63" xr:uid="{00000000-0009-0000-0100-000002000000}"/>
  <tableColumns count="12">
    <tableColumn id="1" xr3:uid="{00000000-0010-0000-0100-000001000000}" name="Project ID"/>
    <tableColumn id="2" xr3:uid="{00000000-0010-0000-0100-000002000000}" name="Project Name"/>
    <tableColumn id="3" xr3:uid="{00000000-0010-0000-0100-000003000000}" name="Past/Current 2 Weeks %"/>
    <tableColumn id="4" xr3:uid="{00000000-0010-0000-0100-000004000000}" name="Upcoming 2 Weeks %"/>
    <tableColumn id="5" xr3:uid="{00000000-0010-0000-0100-000005000000}" name="Confidence"/>
    <tableColumn id="6" xr3:uid="{00000000-0010-0000-0100-000006000000}" name="Skills Alignment"/>
    <tableColumn id="7" xr3:uid="{00000000-0010-0000-0100-000007000000}" name="Past/Current Hrs/Wk"/>
    <tableColumn id="8" xr3:uid="{00000000-0010-0000-0100-000008000000}" name="Upcoming Hrs/Wk"/>
    <tableColumn id="9" xr3:uid="{00000000-0010-0000-0100-000009000000}" name="Direction of Change"/>
    <tableColumn id="10" xr3:uid="{00000000-0010-0000-0100-00000A000000}" name="Manager / Project Owner"/>
    <tableColumn id="12" xr3:uid="{00000000-0010-0000-0100-00000C000000}" name="Key Deliverables / Work Description"/>
    <tableColumn id="13" xr3:uid="{00000000-0010-0000-0100-00000D000000}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curringWorkDetail" displayName="RecurringWorkDetail" ref="A3:F33">
  <autoFilter ref="A3:F33" xr:uid="{00000000-0009-0000-0100-000003000000}"/>
  <tableColumns count="6">
    <tableColumn id="1" xr3:uid="{00000000-0010-0000-0200-000001000000}" name="Category"/>
    <tableColumn id="2" xr3:uid="{00000000-0010-0000-0200-000002000000}" name="Description"/>
    <tableColumn id="3" xr3:uid="{00000000-0010-0000-0200-000003000000}" name="Frequency"/>
    <tableColumn id="4" xr3:uid="{00000000-0010-0000-0200-000004000000}" name="Avg Hrs / Week"/>
    <tableColumn id="5" xr3:uid="{00000000-0010-0000-0200-000005000000}" name="Backup / SME"/>
    <tableColumn id="6" xr3:uid="{00000000-0010-0000-0200-000006000000}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showGridLines="0" workbookViewId="0">
      <selection activeCell="B20" sqref="B20"/>
    </sheetView>
  </sheetViews>
  <sheetFormatPr defaultRowHeight="15"/>
  <cols>
    <col min="1" max="1" width="98" customWidth="1"/>
    <col min="2" max="2" width="55" customWidth="1"/>
  </cols>
  <sheetData>
    <row r="1" spans="1:2">
      <c r="A1" s="10" t="s">
        <v>0</v>
      </c>
      <c r="B1" s="1"/>
    </row>
    <row r="2" spans="1:2">
      <c r="A2" s="1"/>
      <c r="B2" s="1"/>
    </row>
    <row r="3" spans="1:2">
      <c r="A3" s="11" t="s">
        <v>1</v>
      </c>
      <c r="B3" s="1"/>
    </row>
    <row r="4" spans="1:2">
      <c r="A4" s="1" t="s">
        <v>2</v>
      </c>
      <c r="B4" s="1"/>
    </row>
    <row r="5" spans="1:2">
      <c r="A5" s="1"/>
      <c r="B5" s="1"/>
    </row>
    <row r="6" spans="1:2">
      <c r="A6" s="11" t="s">
        <v>3</v>
      </c>
      <c r="B6" s="1"/>
    </row>
    <row r="7" spans="1:2">
      <c r="A7" s="12" t="s">
        <v>4</v>
      </c>
      <c r="B7" s="1"/>
    </row>
    <row r="8" spans="1:2">
      <c r="A8" s="12" t="s">
        <v>5</v>
      </c>
      <c r="B8" s="1"/>
    </row>
    <row r="9" spans="1:2">
      <c r="A9" s="12" t="s">
        <v>6</v>
      </c>
      <c r="B9" s="1"/>
    </row>
    <row r="10" spans="1:2">
      <c r="A10" s="12" t="s">
        <v>7</v>
      </c>
      <c r="B10" s="1"/>
    </row>
    <row r="11" spans="1:2">
      <c r="A11" s="12" t="s">
        <v>8</v>
      </c>
      <c r="B11" s="1"/>
    </row>
    <row r="12" spans="1:2">
      <c r="A12" s="12" t="s">
        <v>9</v>
      </c>
      <c r="B12" s="1"/>
    </row>
    <row r="13" spans="1:2">
      <c r="A13" s="12" t="s">
        <v>10</v>
      </c>
      <c r="B13" s="1"/>
    </row>
    <row r="14" spans="1:2">
      <c r="A14" s="1"/>
      <c r="B14" s="1"/>
    </row>
    <row r="15" spans="1:2">
      <c r="A15" s="11" t="s">
        <v>11</v>
      </c>
      <c r="B15" s="1"/>
    </row>
    <row r="16" spans="1:2">
      <c r="A16" s="13" t="s">
        <v>12</v>
      </c>
      <c r="B16" s="1" t="s">
        <v>13</v>
      </c>
    </row>
    <row r="17" spans="1:2">
      <c r="A17" s="14" t="s">
        <v>14</v>
      </c>
      <c r="B17" s="1" t="s">
        <v>15</v>
      </c>
    </row>
    <row r="18" spans="1:2">
      <c r="A18" s="15" t="s">
        <v>16</v>
      </c>
      <c r="B18" s="1" t="s">
        <v>17</v>
      </c>
    </row>
    <row r="19" spans="1:2">
      <c r="A19" s="16" t="s">
        <v>18</v>
      </c>
      <c r="B19" s="1" t="s">
        <v>19</v>
      </c>
    </row>
    <row r="20" spans="1:2">
      <c r="A20" s="1"/>
      <c r="B20" s="1"/>
    </row>
    <row r="21" spans="1:2">
      <c r="A21" s="1" t="s">
        <v>20</v>
      </c>
      <c r="B21" s="1"/>
    </row>
    <row r="22" spans="1:2">
      <c r="A22" s="11"/>
      <c r="B22" s="1"/>
    </row>
    <row r="23" spans="1:2">
      <c r="A23" s="1"/>
      <c r="B23" s="1"/>
    </row>
    <row r="24" spans="1:2">
      <c r="B24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showGridLines="0" tabSelected="1" workbookViewId="0">
      <selection activeCell="B7" sqref="B7"/>
    </sheetView>
  </sheetViews>
  <sheetFormatPr defaultRowHeight="15"/>
  <cols>
    <col min="1" max="1" width="46.7109375" customWidth="1"/>
    <col min="2" max="2" width="45" customWidth="1"/>
    <col min="3" max="3" width="4" customWidth="1"/>
    <col min="4" max="4" width="82" customWidth="1"/>
  </cols>
  <sheetData>
    <row r="1" spans="1:4">
      <c r="A1" s="30" t="s">
        <v>21</v>
      </c>
      <c r="B1" s="1"/>
      <c r="C1" s="1"/>
      <c r="D1" s="1"/>
    </row>
    <row r="2" spans="1:4">
      <c r="A2" s="1"/>
      <c r="B2" s="1"/>
      <c r="C2" s="1"/>
      <c r="D2" s="1"/>
    </row>
    <row r="3" spans="1:4">
      <c r="A3" s="31" t="s">
        <v>22</v>
      </c>
      <c r="B3" s="3"/>
      <c r="C3" s="1"/>
      <c r="D3" s="32" t="s">
        <v>23</v>
      </c>
    </row>
    <row r="4" spans="1:4">
      <c r="A4" s="31" t="s">
        <v>24</v>
      </c>
      <c r="B4" s="3"/>
      <c r="C4" s="1"/>
      <c r="D4" s="2" t="s">
        <v>25</v>
      </c>
    </row>
    <row r="5" spans="1:4">
      <c r="A5" s="31" t="s">
        <v>26</v>
      </c>
      <c r="B5" s="3"/>
      <c r="C5" s="1"/>
      <c r="D5" s="2" t="s">
        <v>27</v>
      </c>
    </row>
    <row r="6" spans="1:4">
      <c r="A6" s="31" t="s">
        <v>28</v>
      </c>
      <c r="B6" s="3"/>
      <c r="C6" s="1"/>
      <c r="D6" s="2" t="s">
        <v>29</v>
      </c>
    </row>
    <row r="7" spans="1:4">
      <c r="A7" s="31" t="s">
        <v>30</v>
      </c>
      <c r="B7" s="3">
        <v>40</v>
      </c>
      <c r="C7" s="1"/>
      <c r="D7" s="2" t="s">
        <v>31</v>
      </c>
    </row>
    <row r="8" spans="1:4">
      <c r="A8" s="31" t="s">
        <v>32</v>
      </c>
      <c r="B8" s="3"/>
      <c r="C8" s="1"/>
      <c r="D8" s="1"/>
    </row>
    <row r="9" spans="1:4">
      <c r="A9" s="31" t="s">
        <v>33</v>
      </c>
      <c r="B9" s="28">
        <f ca="1">TODAY()</f>
        <v>46223</v>
      </c>
      <c r="C9" s="1"/>
      <c r="D9" s="1"/>
    </row>
    <row r="10" spans="1:4">
      <c r="A10" s="31" t="s">
        <v>34</v>
      </c>
      <c r="B10" s="3"/>
      <c r="C10" s="1"/>
      <c r="D10" s="1"/>
    </row>
    <row r="11" spans="1:4">
      <c r="A11" s="31" t="s">
        <v>35</v>
      </c>
      <c r="B11" s="3"/>
      <c r="C11" s="1"/>
      <c r="D11" s="1"/>
    </row>
    <row r="12" spans="1:4">
      <c r="A12" s="31" t="s">
        <v>36</v>
      </c>
      <c r="B12" s="3"/>
      <c r="C12" s="1"/>
      <c r="D12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showGridLines="0" workbookViewId="0">
      <selection activeCell="D2" sqref="D2"/>
    </sheetView>
  </sheetViews>
  <sheetFormatPr defaultRowHeight="15"/>
  <cols>
    <col min="1" max="1" width="14" customWidth="1"/>
    <col min="2" max="2" width="60" customWidth="1"/>
    <col min="3" max="3" width="34" customWidth="1"/>
    <col min="4" max="4" width="39.42578125" customWidth="1"/>
    <col min="5" max="5" width="55" customWidth="1"/>
  </cols>
  <sheetData>
    <row r="1" spans="1:5">
      <c r="A1" s="33" t="s">
        <v>37</v>
      </c>
      <c r="B1" s="33" t="s">
        <v>38</v>
      </c>
      <c r="C1" s="33" t="s">
        <v>39</v>
      </c>
      <c r="D1" s="33" t="s">
        <v>40</v>
      </c>
      <c r="E1" s="33" t="s">
        <v>41</v>
      </c>
    </row>
    <row r="2" spans="1:5">
      <c r="A2" s="5" t="s">
        <v>42</v>
      </c>
      <c r="B2" s="5" t="s">
        <v>43</v>
      </c>
      <c r="C2" s="5" t="s">
        <v>44</v>
      </c>
      <c r="D2" s="5" t="s">
        <v>45</v>
      </c>
      <c r="E2" s="5"/>
    </row>
    <row r="3" spans="1:5">
      <c r="A3" s="5" t="s">
        <v>46</v>
      </c>
      <c r="B3" s="5" t="s">
        <v>47</v>
      </c>
      <c r="C3" s="5" t="s">
        <v>44</v>
      </c>
      <c r="D3" s="5" t="s">
        <v>45</v>
      </c>
      <c r="E3" s="5"/>
    </row>
    <row r="4" spans="1:5">
      <c r="A4" s="5" t="s">
        <v>48</v>
      </c>
      <c r="B4" s="5" t="s">
        <v>49</v>
      </c>
      <c r="C4" s="5" t="s">
        <v>50</v>
      </c>
      <c r="D4" s="5" t="s">
        <v>45</v>
      </c>
      <c r="E4" s="5"/>
    </row>
    <row r="5" spans="1:5">
      <c r="A5" s="5" t="s">
        <v>51</v>
      </c>
      <c r="B5" s="5" t="s">
        <v>52</v>
      </c>
      <c r="C5" s="5" t="s">
        <v>53</v>
      </c>
      <c r="D5" s="5" t="s">
        <v>45</v>
      </c>
      <c r="E5" s="5"/>
    </row>
    <row r="6" spans="1:5">
      <c r="A6" s="5" t="s">
        <v>54</v>
      </c>
      <c r="B6" s="5" t="s">
        <v>55</v>
      </c>
      <c r="C6" s="5" t="s">
        <v>50</v>
      </c>
      <c r="D6" s="5" t="s">
        <v>45</v>
      </c>
      <c r="E6" s="5"/>
    </row>
    <row r="7" spans="1:5">
      <c r="A7" s="5" t="s">
        <v>56</v>
      </c>
      <c r="B7" s="5" t="s">
        <v>57</v>
      </c>
      <c r="C7" s="5" t="s">
        <v>53</v>
      </c>
      <c r="D7" s="5" t="s">
        <v>45</v>
      </c>
      <c r="E7" s="5"/>
    </row>
    <row r="8" spans="1:5">
      <c r="A8" s="5" t="s">
        <v>58</v>
      </c>
      <c r="B8" s="5" t="s">
        <v>59</v>
      </c>
      <c r="C8" s="5" t="s">
        <v>53</v>
      </c>
      <c r="D8" s="5" t="s">
        <v>45</v>
      </c>
      <c r="E8" s="5"/>
    </row>
    <row r="9" spans="1:5">
      <c r="A9" s="5" t="s">
        <v>60</v>
      </c>
      <c r="B9" s="5" t="s">
        <v>61</v>
      </c>
      <c r="C9" s="5" t="s">
        <v>50</v>
      </c>
      <c r="D9" s="5" t="s">
        <v>45</v>
      </c>
      <c r="E9" s="5"/>
    </row>
    <row r="10" spans="1:5">
      <c r="A10" s="5" t="s">
        <v>62</v>
      </c>
      <c r="B10" s="5" t="s">
        <v>63</v>
      </c>
      <c r="C10" s="5" t="s">
        <v>50</v>
      </c>
      <c r="D10" s="5" t="s">
        <v>45</v>
      </c>
      <c r="E10" s="5"/>
    </row>
    <row r="11" spans="1:5">
      <c r="A11" s="5" t="s">
        <v>64</v>
      </c>
      <c r="B11" s="5" t="s">
        <v>65</v>
      </c>
      <c r="C11" s="5" t="s">
        <v>50</v>
      </c>
      <c r="D11" s="5" t="s">
        <v>45</v>
      </c>
      <c r="E11" s="5"/>
    </row>
    <row r="12" spans="1:5">
      <c r="A12" s="5" t="s">
        <v>66</v>
      </c>
      <c r="B12" s="5" t="s">
        <v>67</v>
      </c>
      <c r="C12" s="5" t="s">
        <v>53</v>
      </c>
      <c r="D12" s="5" t="s">
        <v>45</v>
      </c>
      <c r="E12" s="5"/>
    </row>
    <row r="13" spans="1:5">
      <c r="A13" s="5" t="s">
        <v>68</v>
      </c>
      <c r="B13" s="5" t="s">
        <v>69</v>
      </c>
      <c r="C13" s="5" t="s">
        <v>50</v>
      </c>
      <c r="D13" s="5" t="s">
        <v>45</v>
      </c>
      <c r="E13" s="5"/>
    </row>
    <row r="14" spans="1:5">
      <c r="A14" s="5" t="s">
        <v>70</v>
      </c>
      <c r="B14" s="5" t="s">
        <v>71</v>
      </c>
      <c r="C14" s="5" t="s">
        <v>53</v>
      </c>
      <c r="D14" s="5" t="s">
        <v>45</v>
      </c>
      <c r="E14" s="5"/>
    </row>
    <row r="15" spans="1:5">
      <c r="A15" s="5" t="s">
        <v>72</v>
      </c>
      <c r="B15" s="5" t="s">
        <v>73</v>
      </c>
      <c r="C15" s="5" t="s">
        <v>50</v>
      </c>
      <c r="D15" s="5" t="s">
        <v>45</v>
      </c>
      <c r="E15" s="5"/>
    </row>
    <row r="16" spans="1:5">
      <c r="A16" s="5" t="s">
        <v>74</v>
      </c>
      <c r="B16" s="5" t="s">
        <v>75</v>
      </c>
      <c r="C16" s="5" t="s">
        <v>76</v>
      </c>
      <c r="D16" s="5" t="s">
        <v>45</v>
      </c>
      <c r="E16" s="5"/>
    </row>
    <row r="17" spans="1:5">
      <c r="A17" s="5" t="s">
        <v>77</v>
      </c>
      <c r="B17" s="5" t="s">
        <v>78</v>
      </c>
      <c r="C17" s="5" t="s">
        <v>76</v>
      </c>
      <c r="D17" s="5" t="s">
        <v>45</v>
      </c>
      <c r="E17" s="5"/>
    </row>
    <row r="18" spans="1:5">
      <c r="A18" s="5" t="s">
        <v>79</v>
      </c>
      <c r="B18" s="5" t="s">
        <v>80</v>
      </c>
      <c r="C18" s="5" t="s">
        <v>53</v>
      </c>
      <c r="D18" s="5" t="s">
        <v>45</v>
      </c>
      <c r="E18" s="5"/>
    </row>
    <row r="19" spans="1:5">
      <c r="A19" s="5" t="s">
        <v>81</v>
      </c>
      <c r="B19" s="5" t="s">
        <v>82</v>
      </c>
      <c r="C19" s="5" t="s">
        <v>53</v>
      </c>
      <c r="D19" s="5" t="s">
        <v>45</v>
      </c>
      <c r="E19" s="5"/>
    </row>
    <row r="20" spans="1:5">
      <c r="A20" s="5" t="s">
        <v>83</v>
      </c>
      <c r="B20" s="5" t="s">
        <v>84</v>
      </c>
      <c r="C20" s="5" t="s">
        <v>76</v>
      </c>
      <c r="D20" s="5" t="s">
        <v>45</v>
      </c>
      <c r="E20" s="5"/>
    </row>
    <row r="21" spans="1:5">
      <c r="A21" s="5" t="s">
        <v>85</v>
      </c>
      <c r="B21" s="5" t="s">
        <v>86</v>
      </c>
      <c r="C21" s="5" t="s">
        <v>76</v>
      </c>
      <c r="D21" s="5" t="s">
        <v>45</v>
      </c>
      <c r="E21" s="5"/>
    </row>
    <row r="22" spans="1:5">
      <c r="A22" s="5" t="s">
        <v>87</v>
      </c>
      <c r="B22" s="5" t="s">
        <v>88</v>
      </c>
      <c r="C22" s="5" t="s">
        <v>89</v>
      </c>
      <c r="D22" s="5" t="s">
        <v>45</v>
      </c>
      <c r="E22" s="5"/>
    </row>
    <row r="23" spans="1:5">
      <c r="A23" s="5" t="s">
        <v>90</v>
      </c>
      <c r="B23" s="5" t="s">
        <v>91</v>
      </c>
      <c r="C23" s="5" t="s">
        <v>89</v>
      </c>
      <c r="D23" s="5" t="s">
        <v>45</v>
      </c>
      <c r="E23" s="5"/>
    </row>
    <row r="24" spans="1:5">
      <c r="A24" s="5" t="s">
        <v>92</v>
      </c>
      <c r="B24" s="5" t="s">
        <v>93</v>
      </c>
      <c r="C24" s="5" t="s">
        <v>89</v>
      </c>
      <c r="D24" s="5" t="s">
        <v>45</v>
      </c>
      <c r="E24" s="5"/>
    </row>
    <row r="25" spans="1:5">
      <c r="A25" s="5" t="s">
        <v>94</v>
      </c>
      <c r="B25" s="5" t="s">
        <v>95</v>
      </c>
      <c r="C25" s="5" t="s">
        <v>89</v>
      </c>
      <c r="D25" s="5" t="s">
        <v>45</v>
      </c>
      <c r="E25" s="5"/>
    </row>
    <row r="26" spans="1:5">
      <c r="A26" s="5" t="s">
        <v>96</v>
      </c>
      <c r="B26" s="5" t="s">
        <v>97</v>
      </c>
      <c r="C26" s="5" t="s">
        <v>89</v>
      </c>
      <c r="D26" s="5" t="s">
        <v>45</v>
      </c>
      <c r="E26" s="5"/>
    </row>
    <row r="27" spans="1:5">
      <c r="A27" s="5" t="s">
        <v>98</v>
      </c>
      <c r="B27" s="5" t="s">
        <v>99</v>
      </c>
      <c r="C27" s="5" t="s">
        <v>53</v>
      </c>
      <c r="D27" s="5" t="s">
        <v>45</v>
      </c>
      <c r="E27" s="5"/>
    </row>
    <row r="28" spans="1:5">
      <c r="A28" s="5" t="s">
        <v>100</v>
      </c>
      <c r="B28" s="5" t="s">
        <v>101</v>
      </c>
      <c r="C28" s="5" t="s">
        <v>44</v>
      </c>
      <c r="D28" s="5" t="s">
        <v>45</v>
      </c>
      <c r="E28" s="5"/>
    </row>
    <row r="29" spans="1:5">
      <c r="A29" s="5" t="s">
        <v>102</v>
      </c>
      <c r="B29" s="5" t="s">
        <v>103</v>
      </c>
      <c r="C29" s="5" t="s">
        <v>53</v>
      </c>
      <c r="D29" s="5" t="s">
        <v>45</v>
      </c>
      <c r="E29" s="5"/>
    </row>
    <row r="30" spans="1:5">
      <c r="A30" s="5" t="s">
        <v>104</v>
      </c>
      <c r="B30" s="5" t="s">
        <v>105</v>
      </c>
      <c r="C30" s="5" t="s">
        <v>53</v>
      </c>
      <c r="D30" s="5" t="s">
        <v>45</v>
      </c>
      <c r="E30" s="5"/>
    </row>
    <row r="31" spans="1:5">
      <c r="A31" s="5" t="s">
        <v>106</v>
      </c>
      <c r="B31" s="5" t="s">
        <v>107</v>
      </c>
      <c r="C31" s="5" t="s">
        <v>76</v>
      </c>
      <c r="D31" s="5" t="s">
        <v>45</v>
      </c>
      <c r="E31" s="5"/>
    </row>
    <row r="32" spans="1:5">
      <c r="A32" s="5" t="s">
        <v>108</v>
      </c>
      <c r="B32" s="5" t="s">
        <v>109</v>
      </c>
      <c r="C32" s="5" t="s">
        <v>53</v>
      </c>
      <c r="D32" s="5" t="s">
        <v>45</v>
      </c>
      <c r="E32" s="5"/>
    </row>
    <row r="33" spans="1:5">
      <c r="A33" s="5" t="s">
        <v>110</v>
      </c>
      <c r="B33" s="5" t="s">
        <v>111</v>
      </c>
      <c r="C33" s="5" t="s">
        <v>89</v>
      </c>
      <c r="D33" s="5" t="s">
        <v>45</v>
      </c>
      <c r="E33" s="5"/>
    </row>
    <row r="34" spans="1:5">
      <c r="A34" s="5" t="s">
        <v>112</v>
      </c>
      <c r="B34" s="5" t="s">
        <v>113</v>
      </c>
      <c r="C34" s="5" t="s">
        <v>53</v>
      </c>
      <c r="D34" s="5" t="s">
        <v>45</v>
      </c>
      <c r="E34" s="5"/>
    </row>
    <row r="35" spans="1:5">
      <c r="A35" s="5" t="s">
        <v>114</v>
      </c>
      <c r="B35" s="5" t="s">
        <v>115</v>
      </c>
      <c r="C35" s="5" t="s">
        <v>116</v>
      </c>
      <c r="D35" s="5" t="s">
        <v>45</v>
      </c>
      <c r="E35" s="5"/>
    </row>
    <row r="36" spans="1:5">
      <c r="A36" s="6" t="s">
        <v>117</v>
      </c>
      <c r="B36" s="6" t="s">
        <v>118</v>
      </c>
      <c r="C36" s="6" t="s">
        <v>53</v>
      </c>
      <c r="D36" s="6" t="s">
        <v>45</v>
      </c>
      <c r="E36" s="6"/>
    </row>
    <row r="37" spans="1:5">
      <c r="A37" s="6" t="s">
        <v>114</v>
      </c>
      <c r="B37" s="6" t="s">
        <v>119</v>
      </c>
      <c r="C37" s="6" t="s">
        <v>116</v>
      </c>
      <c r="D37" s="6" t="s">
        <v>45</v>
      </c>
      <c r="E37" s="6"/>
    </row>
    <row r="38" spans="1:5">
      <c r="A38" s="6" t="s">
        <v>114</v>
      </c>
      <c r="B38" s="6" t="s">
        <v>120</v>
      </c>
      <c r="C38" s="6" t="s">
        <v>116</v>
      </c>
      <c r="D38" s="6" t="s">
        <v>45</v>
      </c>
      <c r="E38" s="6"/>
    </row>
    <row r="39" spans="1:5">
      <c r="A39" s="6" t="s">
        <v>114</v>
      </c>
      <c r="B39" s="6" t="s">
        <v>121</v>
      </c>
      <c r="C39" s="6" t="s">
        <v>116</v>
      </c>
      <c r="D39" s="6" t="s">
        <v>45</v>
      </c>
      <c r="E39" s="6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4"/>
  <sheetViews>
    <sheetView showGridLines="0" workbookViewId="0">
      <pane ySplit="3" topLeftCell="A12" activePane="bottomLeft" state="frozen"/>
      <selection pane="bottomLeft" activeCell="C13" sqref="C13"/>
    </sheetView>
  </sheetViews>
  <sheetFormatPr defaultRowHeight="15"/>
  <cols>
    <col min="1" max="1" width="13" customWidth="1"/>
    <col min="2" max="2" width="48" customWidth="1"/>
    <col min="3" max="3" width="28.28515625" customWidth="1"/>
    <col min="4" max="4" width="25.85546875" customWidth="1"/>
    <col min="5" max="5" width="17.28515625" customWidth="1"/>
    <col min="6" max="6" width="19" customWidth="1"/>
    <col min="7" max="7" width="25.28515625" customWidth="1"/>
    <col min="8" max="8" width="24.28515625" customWidth="1"/>
    <col min="9" max="9" width="25.28515625" customWidth="1"/>
    <col min="10" max="10" width="24" customWidth="1"/>
    <col min="11" max="11" width="45" customWidth="1"/>
    <col min="12" max="12" width="152.42578125" customWidth="1"/>
  </cols>
  <sheetData>
    <row r="1" spans="1:12" ht="21">
      <c r="A1" s="17" t="s">
        <v>122</v>
      </c>
    </row>
    <row r="2" spans="1:12" ht="20.25" customHeight="1">
      <c r="A2" t="s">
        <v>123</v>
      </c>
    </row>
    <row r="3" spans="1:12" ht="42" customHeight="1">
      <c r="A3" s="18" t="s">
        <v>37</v>
      </c>
      <c r="B3" s="18" t="s">
        <v>38</v>
      </c>
      <c r="C3" s="18" t="s">
        <v>124</v>
      </c>
      <c r="D3" s="18" t="s">
        <v>125</v>
      </c>
      <c r="E3" s="18" t="s">
        <v>126</v>
      </c>
      <c r="F3" s="18" t="s">
        <v>127</v>
      </c>
      <c r="G3" s="18" t="s">
        <v>128</v>
      </c>
      <c r="H3" s="18" t="s">
        <v>129</v>
      </c>
      <c r="I3" s="18" t="s">
        <v>130</v>
      </c>
      <c r="J3" s="18" t="s">
        <v>131</v>
      </c>
      <c r="K3" s="18" t="s">
        <v>132</v>
      </c>
      <c r="L3" s="29" t="s">
        <v>41</v>
      </c>
    </row>
    <row r="4" spans="1:12">
      <c r="A4" s="4" t="str">
        <f>IFERROR(INDEX('Project Lookup'!$A:$A,MATCH(B4,'Project Lookup'!$B:$B,0)),"")</f>
        <v/>
      </c>
      <c r="B4" s="3"/>
      <c r="C4" s="24"/>
      <c r="D4" s="24"/>
      <c r="E4" s="3"/>
      <c r="F4" s="3"/>
      <c r="G4" s="7" t="str">
        <f>IF(C4="","",C4*WeeklyCapacityHrs/100)</f>
        <v/>
      </c>
      <c r="H4" s="7" t="str">
        <f>IF(D4="","",D4*WeeklyCapacityHrs/100)</f>
        <v/>
      </c>
      <c r="I4" s="4" t="str">
        <f>IF(OR(C4="",D4=""),"",IF(D4&gt;C4,"Increasing",IF(D4&lt;C4,"Decreasing","Flat")))</f>
        <v/>
      </c>
      <c r="J4" s="3"/>
      <c r="K4" s="3"/>
      <c r="L4" s="3"/>
    </row>
    <row r="5" spans="1:12">
      <c r="A5" s="4" t="str">
        <f>IFERROR(INDEX('Project Lookup'!$A:$A,MATCH(B5,'Project Lookup'!$B:$B,0)),"")</f>
        <v/>
      </c>
      <c r="B5" s="3"/>
      <c r="C5" s="24"/>
      <c r="D5" s="24"/>
      <c r="E5" s="3"/>
      <c r="F5" s="3"/>
      <c r="G5" s="7" t="str">
        <f>IF(C5="","",C5*WeeklyCapacityHrs/100)</f>
        <v/>
      </c>
      <c r="H5" s="7" t="str">
        <f>IF(D5="","",D5*WeeklyCapacityHrs/100)</f>
        <v/>
      </c>
      <c r="I5" s="4" t="str">
        <f>IF(OR(C5="",D5=""),"",IF(D5&gt;C5,"Increasing",IF(D5&lt;C5,"Decreasing","Flat")))</f>
        <v/>
      </c>
      <c r="J5" s="3"/>
      <c r="K5" s="3"/>
      <c r="L5" s="3"/>
    </row>
    <row r="6" spans="1:12">
      <c r="A6" s="4" t="str">
        <f>IFERROR(INDEX('Project Lookup'!$A:$A,MATCH(B6,'Project Lookup'!$B:$B,0)),"")</f>
        <v/>
      </c>
      <c r="B6" s="3"/>
      <c r="C6" s="24"/>
      <c r="D6" s="24"/>
      <c r="E6" s="3"/>
      <c r="F6" s="3"/>
      <c r="G6" s="7" t="str">
        <f>IF(C6="","",C6*WeeklyCapacityHrs/100)</f>
        <v/>
      </c>
      <c r="H6" s="7" t="str">
        <f>IF(D6="","",D6*WeeklyCapacityHrs/100)</f>
        <v/>
      </c>
      <c r="I6" s="4" t="str">
        <f>IF(OR(C6="",D6=""),"",IF(D6&gt;C6,"Increasing",IF(D6&lt;C6,"Decreasing","Flat")))</f>
        <v/>
      </c>
      <c r="J6" s="3"/>
      <c r="K6" s="3"/>
      <c r="L6" s="3"/>
    </row>
    <row r="7" spans="1:12">
      <c r="A7" s="4" t="str">
        <f>IFERROR(INDEX('Project Lookup'!$A:$A,MATCH(B7,'Project Lookup'!$B:$B,0)),"")</f>
        <v/>
      </c>
      <c r="B7" s="3"/>
      <c r="C7" s="24"/>
      <c r="D7" s="24"/>
      <c r="E7" s="3"/>
      <c r="F7" s="3"/>
      <c r="G7" s="7" t="str">
        <f>IF(C7="","",C7*WeeklyCapacityHrs/100)</f>
        <v/>
      </c>
      <c r="H7" s="7" t="str">
        <f>IF(D7="","",D7*WeeklyCapacityHrs/100)</f>
        <v/>
      </c>
      <c r="I7" s="4" t="str">
        <f>IF(OR(C7="",D7=""),"",IF(D7&gt;C7,"Increasing",IF(D7&lt;C7,"Decreasing","Flat")))</f>
        <v/>
      </c>
      <c r="J7" s="3"/>
      <c r="K7" s="3"/>
      <c r="L7" s="3"/>
    </row>
    <row r="8" spans="1:12">
      <c r="A8" s="4" t="str">
        <f>IFERROR(INDEX('Project Lookup'!$A:$A,MATCH(B8,'Project Lookup'!$B:$B,0)),"")</f>
        <v/>
      </c>
      <c r="B8" s="3"/>
      <c r="C8" s="24"/>
      <c r="D8" s="24"/>
      <c r="E8" s="3"/>
      <c r="F8" s="3"/>
      <c r="G8" s="7" t="str">
        <f>IF(C8="","",C8*WeeklyCapacityHrs/100)</f>
        <v/>
      </c>
      <c r="H8" s="7" t="str">
        <f>IF(D8="","",D8*WeeklyCapacityHrs/100)</f>
        <v/>
      </c>
      <c r="I8" s="4" t="str">
        <f>IF(OR(C8="",D8=""),"",IF(D8&gt;C8,"Increasing",IF(D8&lt;C8,"Decreasing","Flat")))</f>
        <v/>
      </c>
      <c r="J8" s="3"/>
      <c r="K8" s="3"/>
      <c r="L8" s="3"/>
    </row>
    <row r="9" spans="1:12">
      <c r="A9" s="4" t="str">
        <f>IFERROR(INDEX('Project Lookup'!$A:$A,MATCH(B9,'Project Lookup'!$B:$B,0)),"")</f>
        <v/>
      </c>
      <c r="B9" s="3"/>
      <c r="C9" s="24"/>
      <c r="D9" s="24"/>
      <c r="E9" s="3"/>
      <c r="F9" s="3"/>
      <c r="G9" s="7" t="str">
        <f>IF(C9="","",C9*WeeklyCapacityHrs/100)</f>
        <v/>
      </c>
      <c r="H9" s="7" t="str">
        <f>IF(D9="","",D9*WeeklyCapacityHrs/100)</f>
        <v/>
      </c>
      <c r="I9" s="4" t="str">
        <f>IF(OR(C9="",D9=""),"",IF(D9&gt;C9,"Increasing",IF(D9&lt;C9,"Decreasing","Flat")))</f>
        <v/>
      </c>
      <c r="J9" s="3"/>
      <c r="K9" s="3"/>
      <c r="L9" s="3"/>
    </row>
    <row r="10" spans="1:12">
      <c r="A10" s="4" t="str">
        <f>IFERROR(INDEX('Project Lookup'!$A:$A,MATCH(B10,'Project Lookup'!$B:$B,0)),"")</f>
        <v/>
      </c>
      <c r="B10" s="3"/>
      <c r="C10" s="24"/>
      <c r="D10" s="24"/>
      <c r="E10" s="3"/>
      <c r="F10" s="3"/>
      <c r="G10" s="7" t="str">
        <f>IF(C10="","",C10*WeeklyCapacityHrs/100)</f>
        <v/>
      </c>
      <c r="H10" s="7" t="str">
        <f>IF(D10="","",D10*WeeklyCapacityHrs/100)</f>
        <v/>
      </c>
      <c r="I10" s="4" t="str">
        <f>IF(OR(C10="",D10=""),"",IF(D10&gt;C10,"Increasing",IF(D10&lt;C10,"Decreasing","Flat")))</f>
        <v/>
      </c>
      <c r="J10" s="3"/>
      <c r="K10" s="3"/>
      <c r="L10" s="3"/>
    </row>
    <row r="11" spans="1:12">
      <c r="A11" s="4" t="str">
        <f>IFERROR(INDEX('Project Lookup'!$A:$A,MATCH(B11,'Project Lookup'!$B:$B,0)),"")</f>
        <v/>
      </c>
      <c r="B11" s="3"/>
      <c r="C11" s="24"/>
      <c r="D11" s="24"/>
      <c r="E11" s="3"/>
      <c r="F11" s="3"/>
      <c r="G11" s="7" t="str">
        <f>IF(C11="","",C11*WeeklyCapacityHrs/100)</f>
        <v/>
      </c>
      <c r="H11" s="7" t="str">
        <f>IF(D11="","",D11*WeeklyCapacityHrs/100)</f>
        <v/>
      </c>
      <c r="I11" s="4" t="str">
        <f>IF(OR(C11="",D11=""),"",IF(D11&gt;C11,"Increasing",IF(D11&lt;C11,"Decreasing","Flat")))</f>
        <v/>
      </c>
      <c r="J11" s="3"/>
      <c r="K11" s="3"/>
      <c r="L11" s="3"/>
    </row>
    <row r="12" spans="1:12">
      <c r="A12" s="4" t="str">
        <f>IFERROR(INDEX('Project Lookup'!$A:$A,MATCH(B12,'Project Lookup'!$B:$B,0)),"")</f>
        <v/>
      </c>
      <c r="B12" s="3"/>
      <c r="C12" s="24"/>
      <c r="D12" s="24"/>
      <c r="E12" s="3"/>
      <c r="F12" s="3"/>
      <c r="G12" s="7" t="str">
        <f>IF(C12="","",C12*WeeklyCapacityHrs/100)</f>
        <v/>
      </c>
      <c r="H12" s="7" t="str">
        <f>IF(D12="","",D12*WeeklyCapacityHrs/100)</f>
        <v/>
      </c>
      <c r="I12" s="4" t="str">
        <f>IF(OR(C12="",D12=""),"",IF(D12&gt;C12,"Increasing",IF(D12&lt;C12,"Decreasing","Flat")))</f>
        <v/>
      </c>
      <c r="J12" s="3"/>
      <c r="K12" s="3"/>
      <c r="L12" s="3"/>
    </row>
    <row r="13" spans="1:12">
      <c r="A13" s="4" t="str">
        <f>IFERROR(INDEX('Project Lookup'!$A:$A,MATCH(B13,'Project Lookup'!$B:$B,0)),"")</f>
        <v/>
      </c>
      <c r="B13" s="3"/>
      <c r="C13" s="24"/>
      <c r="D13" s="24"/>
      <c r="E13" s="3"/>
      <c r="F13" s="3"/>
      <c r="G13" s="7" t="str">
        <f>IF(C13="","",C13*WeeklyCapacityHrs/100)</f>
        <v/>
      </c>
      <c r="H13" s="7" t="str">
        <f>IF(D13="","",D13*WeeklyCapacityHrs/100)</f>
        <v/>
      </c>
      <c r="I13" s="4" t="str">
        <f>IF(OR(C13="",D13=""),"",IF(D13&gt;C13,"Increasing",IF(D13&lt;C13,"Decreasing","Flat")))</f>
        <v/>
      </c>
      <c r="J13" s="3"/>
      <c r="K13" s="3"/>
      <c r="L13" s="3"/>
    </row>
    <row r="14" spans="1:12">
      <c r="A14" s="4" t="str">
        <f>IFERROR(INDEX('Project Lookup'!$A:$A,MATCH(B14,'Project Lookup'!$B:$B,0)),"")</f>
        <v/>
      </c>
      <c r="B14" s="3"/>
      <c r="C14" s="24"/>
      <c r="D14" s="24"/>
      <c r="E14" s="3"/>
      <c r="F14" s="3"/>
      <c r="G14" s="7" t="str">
        <f>IF(C14="","",C14*WeeklyCapacityHrs/100)</f>
        <v/>
      </c>
      <c r="H14" s="7" t="str">
        <f>IF(D14="","",D14*WeeklyCapacityHrs/100)</f>
        <v/>
      </c>
      <c r="I14" s="4" t="str">
        <f>IF(OR(C14="",D14=""),"",IF(D14&gt;C14,"Increasing",IF(D14&lt;C14,"Decreasing","Flat")))</f>
        <v/>
      </c>
      <c r="J14" s="3"/>
      <c r="K14" s="3"/>
      <c r="L14" s="3"/>
    </row>
    <row r="15" spans="1:12">
      <c r="A15" s="4" t="str">
        <f>IFERROR(INDEX('Project Lookup'!$A:$A,MATCH(B15,'Project Lookup'!$B:$B,0)),"")</f>
        <v/>
      </c>
      <c r="B15" s="3"/>
      <c r="C15" s="24"/>
      <c r="D15" s="24"/>
      <c r="E15" s="3"/>
      <c r="F15" s="3"/>
      <c r="G15" s="7" t="str">
        <f>IF(C15="","",C15*WeeklyCapacityHrs/100)</f>
        <v/>
      </c>
      <c r="H15" s="7" t="str">
        <f>IF(D15="","",D15*WeeklyCapacityHrs/100)</f>
        <v/>
      </c>
      <c r="I15" s="4" t="str">
        <f>IF(OR(C15="",D15=""),"",IF(D15&gt;C15,"Increasing",IF(D15&lt;C15,"Decreasing","Flat")))</f>
        <v/>
      </c>
      <c r="J15" s="3"/>
      <c r="K15" s="3"/>
      <c r="L15" s="3"/>
    </row>
    <row r="16" spans="1:12">
      <c r="A16" s="4" t="str">
        <f>IFERROR(INDEX('Project Lookup'!$A:$A,MATCH(B16,'Project Lookup'!$B:$B,0)),"")</f>
        <v/>
      </c>
      <c r="B16" s="3"/>
      <c r="C16" s="24"/>
      <c r="D16" s="24"/>
      <c r="E16" s="3"/>
      <c r="F16" s="3"/>
      <c r="G16" s="7" t="str">
        <f>IF(C16="","",C16*WeeklyCapacityHrs/100)</f>
        <v/>
      </c>
      <c r="H16" s="7" t="str">
        <f>IF(D16="","",D16*WeeklyCapacityHrs/100)</f>
        <v/>
      </c>
      <c r="I16" s="4" t="str">
        <f>IF(OR(C16="",D16=""),"",IF(D16&gt;C16,"Increasing",IF(D16&lt;C16,"Decreasing","Flat")))</f>
        <v/>
      </c>
      <c r="J16" s="3"/>
      <c r="K16" s="3"/>
      <c r="L16" s="3"/>
    </row>
    <row r="17" spans="1:12">
      <c r="A17" s="4" t="str">
        <f>IFERROR(INDEX('Project Lookup'!$A:$A,MATCH(B17,'Project Lookup'!$B:$B,0)),"")</f>
        <v/>
      </c>
      <c r="B17" s="3"/>
      <c r="C17" s="24"/>
      <c r="D17" s="24"/>
      <c r="E17" s="3"/>
      <c r="F17" s="3"/>
      <c r="G17" s="7" t="str">
        <f>IF(C17="","",C17*WeeklyCapacityHrs/100)</f>
        <v/>
      </c>
      <c r="H17" s="7" t="str">
        <f>IF(D17="","",D17*WeeklyCapacityHrs/100)</f>
        <v/>
      </c>
      <c r="I17" s="4" t="str">
        <f>IF(OR(C17="",D17=""),"",IF(D17&gt;C17,"Increasing",IF(D17&lt;C17,"Decreasing","Flat")))</f>
        <v/>
      </c>
      <c r="J17" s="3"/>
      <c r="K17" s="3"/>
      <c r="L17" s="3"/>
    </row>
    <row r="18" spans="1:12">
      <c r="A18" s="4" t="str">
        <f>IFERROR(INDEX('Project Lookup'!$A:$A,MATCH(B18,'Project Lookup'!$B:$B,0)),"")</f>
        <v/>
      </c>
      <c r="B18" s="3"/>
      <c r="C18" s="24"/>
      <c r="D18" s="24"/>
      <c r="E18" s="3"/>
      <c r="F18" s="3"/>
      <c r="G18" s="7" t="str">
        <f>IF(C18="","",C18*WeeklyCapacityHrs/100)</f>
        <v/>
      </c>
      <c r="H18" s="7" t="str">
        <f>IF(D18="","",D18*WeeklyCapacityHrs/100)</f>
        <v/>
      </c>
      <c r="I18" s="4" t="str">
        <f>IF(OR(C18="",D18=""),"",IF(D18&gt;C18,"Increasing",IF(D18&lt;C18,"Decreasing","Flat")))</f>
        <v/>
      </c>
      <c r="J18" s="3"/>
      <c r="K18" s="3"/>
      <c r="L18" s="3"/>
    </row>
    <row r="19" spans="1:12">
      <c r="A19" s="4" t="str">
        <f>IFERROR(INDEX('Project Lookup'!$A:$A,MATCH(B19,'Project Lookup'!$B:$B,0)),"")</f>
        <v/>
      </c>
      <c r="B19" s="3"/>
      <c r="C19" s="24"/>
      <c r="D19" s="24"/>
      <c r="E19" s="3"/>
      <c r="F19" s="3"/>
      <c r="G19" s="7" t="str">
        <f>IF(C19="","",C19*WeeklyCapacityHrs/100)</f>
        <v/>
      </c>
      <c r="H19" s="7" t="str">
        <f>IF(D19="","",D19*WeeklyCapacityHrs/100)</f>
        <v/>
      </c>
      <c r="I19" s="4" t="str">
        <f>IF(OR(C19="",D19=""),"",IF(D19&gt;C19,"Increasing",IF(D19&lt;C19,"Decreasing","Flat")))</f>
        <v/>
      </c>
      <c r="J19" s="3"/>
      <c r="K19" s="3"/>
      <c r="L19" s="3"/>
    </row>
    <row r="20" spans="1:12">
      <c r="A20" s="4" t="str">
        <f>IFERROR(INDEX('Project Lookup'!$A:$A,MATCH(B20,'Project Lookup'!$B:$B,0)),"")</f>
        <v/>
      </c>
      <c r="B20" s="3"/>
      <c r="C20" s="24"/>
      <c r="D20" s="24"/>
      <c r="E20" s="3"/>
      <c r="F20" s="3"/>
      <c r="G20" s="7" t="str">
        <f>IF(C20="","",C20*WeeklyCapacityHrs/100)</f>
        <v/>
      </c>
      <c r="H20" s="7" t="str">
        <f>IF(D20="","",D20*WeeklyCapacityHrs/100)</f>
        <v/>
      </c>
      <c r="I20" s="4" t="str">
        <f>IF(OR(C20="",D20=""),"",IF(D20&gt;C20,"Increasing",IF(D20&lt;C20,"Decreasing","Flat")))</f>
        <v/>
      </c>
      <c r="J20" s="3"/>
      <c r="K20" s="3"/>
      <c r="L20" s="3"/>
    </row>
    <row r="21" spans="1:12">
      <c r="A21" s="4" t="str">
        <f>IFERROR(INDEX('Project Lookup'!$A:$A,MATCH(B21,'Project Lookup'!$B:$B,0)),"")</f>
        <v/>
      </c>
      <c r="B21" s="3"/>
      <c r="C21" s="24"/>
      <c r="D21" s="24"/>
      <c r="E21" s="3"/>
      <c r="F21" s="3"/>
      <c r="G21" s="7" t="str">
        <f>IF(C21="","",C21*WeeklyCapacityHrs/100)</f>
        <v/>
      </c>
      <c r="H21" s="7" t="str">
        <f>IF(D21="","",D21*WeeklyCapacityHrs/100)</f>
        <v/>
      </c>
      <c r="I21" s="4" t="str">
        <f>IF(OR(C21="",D21=""),"",IF(D21&gt;C21,"Increasing",IF(D21&lt;C21,"Decreasing","Flat")))</f>
        <v/>
      </c>
      <c r="J21" s="3"/>
      <c r="K21" s="3"/>
      <c r="L21" s="3"/>
    </row>
    <row r="22" spans="1:12">
      <c r="A22" s="4" t="str">
        <f>IFERROR(INDEX('Project Lookup'!$A:$A,MATCH(B22,'Project Lookup'!$B:$B,0)),"")</f>
        <v/>
      </c>
      <c r="B22" s="3"/>
      <c r="C22" s="24"/>
      <c r="D22" s="24"/>
      <c r="E22" s="3"/>
      <c r="F22" s="3"/>
      <c r="G22" s="7" t="str">
        <f>IF(C22="","",C22*WeeklyCapacityHrs/100)</f>
        <v/>
      </c>
      <c r="H22" s="7" t="str">
        <f>IF(D22="","",D22*WeeklyCapacityHrs/100)</f>
        <v/>
      </c>
      <c r="I22" s="4" t="str">
        <f>IF(OR(C22="",D22=""),"",IF(D22&gt;C22,"Increasing",IF(D22&lt;C22,"Decreasing","Flat")))</f>
        <v/>
      </c>
      <c r="J22" s="3"/>
      <c r="K22" s="3"/>
      <c r="L22" s="3"/>
    </row>
    <row r="23" spans="1:12">
      <c r="A23" s="4" t="str">
        <f>IFERROR(INDEX('Project Lookup'!$A:$A,MATCH(B23,'Project Lookup'!$B:$B,0)),"")</f>
        <v/>
      </c>
      <c r="B23" s="3"/>
      <c r="C23" s="24"/>
      <c r="D23" s="24"/>
      <c r="E23" s="3"/>
      <c r="F23" s="3"/>
      <c r="G23" s="7" t="str">
        <f>IF(C23="","",C23*WeeklyCapacityHrs/100)</f>
        <v/>
      </c>
      <c r="H23" s="7" t="str">
        <f>IF(D23="","",D23*WeeklyCapacityHrs/100)</f>
        <v/>
      </c>
      <c r="I23" s="4" t="str">
        <f>IF(OR(C23="",D23=""),"",IF(D23&gt;C23,"Increasing",IF(D23&lt;C23,"Decreasing","Flat")))</f>
        <v/>
      </c>
      <c r="J23" s="3"/>
      <c r="K23" s="3"/>
      <c r="L23" s="3"/>
    </row>
    <row r="24" spans="1:12">
      <c r="A24" s="4" t="str">
        <f>IFERROR(INDEX('Project Lookup'!$A:$A,MATCH(B24,'Project Lookup'!$B:$B,0)),"")</f>
        <v/>
      </c>
      <c r="B24" s="3"/>
      <c r="C24" s="24"/>
      <c r="D24" s="24"/>
      <c r="E24" s="3"/>
      <c r="F24" s="3"/>
      <c r="G24" s="7" t="str">
        <f>IF(C24="","",C24*WeeklyCapacityHrs/100)</f>
        <v/>
      </c>
      <c r="H24" s="7" t="str">
        <f>IF(D24="","",D24*WeeklyCapacityHrs/100)</f>
        <v/>
      </c>
      <c r="I24" s="4" t="str">
        <f>IF(OR(C24="",D24=""),"",IF(D24&gt;C24,"Increasing",IF(D24&lt;C24,"Decreasing","Flat")))</f>
        <v/>
      </c>
      <c r="J24" s="3"/>
      <c r="K24" s="3"/>
      <c r="L24" s="3"/>
    </row>
    <row r="25" spans="1:12">
      <c r="A25" s="4" t="str">
        <f>IFERROR(INDEX('Project Lookup'!$A:$A,MATCH(B25,'Project Lookup'!$B:$B,0)),"")</f>
        <v/>
      </c>
      <c r="B25" s="3"/>
      <c r="C25" s="24"/>
      <c r="D25" s="24"/>
      <c r="E25" s="3"/>
      <c r="F25" s="3"/>
      <c r="G25" s="7" t="str">
        <f>IF(C25="","",C25*WeeklyCapacityHrs/100)</f>
        <v/>
      </c>
      <c r="H25" s="7" t="str">
        <f>IF(D25="","",D25*WeeklyCapacityHrs/100)</f>
        <v/>
      </c>
      <c r="I25" s="4" t="str">
        <f>IF(OR(C25="",D25=""),"",IF(D25&gt;C25,"Increasing",IF(D25&lt;C25,"Decreasing","Flat")))</f>
        <v/>
      </c>
      <c r="J25" s="3"/>
      <c r="K25" s="3"/>
      <c r="L25" s="3"/>
    </row>
    <row r="26" spans="1:12">
      <c r="A26" s="4" t="str">
        <f>IFERROR(INDEX('Project Lookup'!$A:$A,MATCH(B26,'Project Lookup'!$B:$B,0)),"")</f>
        <v/>
      </c>
      <c r="B26" s="3"/>
      <c r="C26" s="24"/>
      <c r="D26" s="24"/>
      <c r="E26" s="3"/>
      <c r="F26" s="3"/>
      <c r="G26" s="7" t="str">
        <f>IF(C26="","",C26*WeeklyCapacityHrs/100)</f>
        <v/>
      </c>
      <c r="H26" s="7" t="str">
        <f>IF(D26="","",D26*WeeklyCapacityHrs/100)</f>
        <v/>
      </c>
      <c r="I26" s="4" t="str">
        <f>IF(OR(C26="",D26=""),"",IF(D26&gt;C26,"Increasing",IF(D26&lt;C26,"Decreasing","Flat")))</f>
        <v/>
      </c>
      <c r="J26" s="3"/>
      <c r="K26" s="3"/>
      <c r="L26" s="3"/>
    </row>
    <row r="27" spans="1:12">
      <c r="A27" s="4" t="str">
        <f>IFERROR(INDEX('Project Lookup'!$A:$A,MATCH(B27,'Project Lookup'!$B:$B,0)),"")</f>
        <v/>
      </c>
      <c r="B27" s="3"/>
      <c r="C27" s="24"/>
      <c r="D27" s="24"/>
      <c r="E27" s="3"/>
      <c r="F27" s="3"/>
      <c r="G27" s="7" t="str">
        <f>IF(C27="","",C27*WeeklyCapacityHrs/100)</f>
        <v/>
      </c>
      <c r="H27" s="7" t="str">
        <f>IF(D27="","",D27*WeeklyCapacityHrs/100)</f>
        <v/>
      </c>
      <c r="I27" s="4" t="str">
        <f>IF(OR(C27="",D27=""),"",IF(D27&gt;C27,"Increasing",IF(D27&lt;C27,"Decreasing","Flat")))</f>
        <v/>
      </c>
      <c r="J27" s="3"/>
      <c r="K27" s="3"/>
      <c r="L27" s="3"/>
    </row>
    <row r="28" spans="1:12">
      <c r="A28" s="4" t="str">
        <f>IFERROR(INDEX('Project Lookup'!$A:$A,MATCH(B28,'Project Lookup'!$B:$B,0)),"")</f>
        <v/>
      </c>
      <c r="B28" s="3"/>
      <c r="C28" s="24"/>
      <c r="D28" s="24"/>
      <c r="E28" s="3"/>
      <c r="F28" s="3"/>
      <c r="G28" s="7" t="str">
        <f>IF(C28="","",C28*WeeklyCapacityHrs/100)</f>
        <v/>
      </c>
      <c r="H28" s="7" t="str">
        <f>IF(D28="","",D28*WeeklyCapacityHrs/100)</f>
        <v/>
      </c>
      <c r="I28" s="4" t="str">
        <f>IF(OR(C28="",D28=""),"",IF(D28&gt;C28,"Increasing",IF(D28&lt;C28,"Decreasing","Flat")))</f>
        <v/>
      </c>
      <c r="J28" s="3"/>
      <c r="K28" s="3"/>
      <c r="L28" s="3"/>
    </row>
    <row r="29" spans="1:12">
      <c r="A29" s="4" t="str">
        <f>IFERROR(INDEX('Project Lookup'!$A:$A,MATCH(B29,'Project Lookup'!$B:$B,0)),"")</f>
        <v/>
      </c>
      <c r="B29" s="3"/>
      <c r="C29" s="24"/>
      <c r="D29" s="24"/>
      <c r="E29" s="3"/>
      <c r="F29" s="3"/>
      <c r="G29" s="7" t="str">
        <f>IF(C29="","",C29*WeeklyCapacityHrs/100)</f>
        <v/>
      </c>
      <c r="H29" s="7" t="str">
        <f>IF(D29="","",D29*WeeklyCapacityHrs/100)</f>
        <v/>
      </c>
      <c r="I29" s="4" t="str">
        <f>IF(OR(C29="",D29=""),"",IF(D29&gt;C29,"Increasing",IF(D29&lt;C29,"Decreasing","Flat")))</f>
        <v/>
      </c>
      <c r="J29" s="3"/>
      <c r="K29" s="3"/>
      <c r="L29" s="3"/>
    </row>
    <row r="30" spans="1:12">
      <c r="A30" s="4" t="str">
        <f>IFERROR(INDEX('Project Lookup'!$A:$A,MATCH(B30,'Project Lookup'!$B:$B,0)),"")</f>
        <v/>
      </c>
      <c r="B30" s="3"/>
      <c r="C30" s="24"/>
      <c r="D30" s="24"/>
      <c r="E30" s="3"/>
      <c r="F30" s="3"/>
      <c r="G30" s="7" t="str">
        <f>IF(C30="","",C30*WeeklyCapacityHrs/100)</f>
        <v/>
      </c>
      <c r="H30" s="7" t="str">
        <f>IF(D30="","",D30*WeeklyCapacityHrs/100)</f>
        <v/>
      </c>
      <c r="I30" s="4" t="str">
        <f>IF(OR(C30="",D30=""),"",IF(D30&gt;C30,"Increasing",IF(D30&lt;C30,"Decreasing","Flat")))</f>
        <v/>
      </c>
      <c r="J30" s="3"/>
      <c r="K30" s="3"/>
      <c r="L30" s="3"/>
    </row>
    <row r="31" spans="1:12">
      <c r="A31" s="4" t="str">
        <f>IFERROR(INDEX('Project Lookup'!$A:$A,MATCH(B31,'Project Lookup'!$B:$B,0)),"")</f>
        <v/>
      </c>
      <c r="B31" s="3"/>
      <c r="C31" s="24"/>
      <c r="D31" s="24"/>
      <c r="E31" s="3"/>
      <c r="F31" s="3"/>
      <c r="G31" s="7" t="str">
        <f>IF(C31="","",C31*WeeklyCapacityHrs/100)</f>
        <v/>
      </c>
      <c r="H31" s="7" t="str">
        <f>IF(D31="","",D31*WeeklyCapacityHrs/100)</f>
        <v/>
      </c>
      <c r="I31" s="4" t="str">
        <f>IF(OR(C31="",D31=""),"",IF(D31&gt;C31,"Increasing",IF(D31&lt;C31,"Decreasing","Flat")))</f>
        <v/>
      </c>
      <c r="J31" s="3"/>
      <c r="K31" s="3"/>
      <c r="L31" s="3"/>
    </row>
    <row r="32" spans="1:12">
      <c r="A32" s="4" t="str">
        <f>IFERROR(INDEX('Project Lookup'!$A:$A,MATCH(B32,'Project Lookup'!$B:$B,0)),"")</f>
        <v/>
      </c>
      <c r="B32" s="3"/>
      <c r="C32" s="24"/>
      <c r="D32" s="24"/>
      <c r="E32" s="3"/>
      <c r="F32" s="3"/>
      <c r="G32" s="7" t="str">
        <f>IF(C32="","",C32*WeeklyCapacityHrs/100)</f>
        <v/>
      </c>
      <c r="H32" s="7" t="str">
        <f>IF(D32="","",D32*WeeklyCapacityHrs/100)</f>
        <v/>
      </c>
      <c r="I32" s="4" t="str">
        <f>IF(OR(C32="",D32=""),"",IF(D32&gt;C32,"Increasing",IF(D32&lt;C32,"Decreasing","Flat")))</f>
        <v/>
      </c>
      <c r="J32" s="3"/>
      <c r="K32" s="3"/>
      <c r="L32" s="3"/>
    </row>
    <row r="33" spans="1:12">
      <c r="A33" s="4" t="str">
        <f>IFERROR(INDEX('Project Lookup'!$A:$A,MATCH(B33,'Project Lookup'!$B:$B,0)),"")</f>
        <v/>
      </c>
      <c r="B33" s="3"/>
      <c r="C33" s="24"/>
      <c r="D33" s="24"/>
      <c r="E33" s="3"/>
      <c r="F33" s="3"/>
      <c r="G33" s="7" t="str">
        <f>IF(C33="","",C33*WeeklyCapacityHrs/100)</f>
        <v/>
      </c>
      <c r="H33" s="7" t="str">
        <f>IF(D33="","",D33*WeeklyCapacityHrs/100)</f>
        <v/>
      </c>
      <c r="I33" s="4" t="str">
        <f>IF(OR(C33="",D33=""),"",IF(D33&gt;C33,"Increasing",IF(D33&lt;C33,"Decreasing","Flat")))</f>
        <v/>
      </c>
      <c r="J33" s="3"/>
      <c r="K33" s="3"/>
      <c r="L33" s="3"/>
    </row>
    <row r="34" spans="1:12">
      <c r="A34" s="4" t="str">
        <f>IFERROR(INDEX('Project Lookup'!$A:$A,MATCH(B34,'Project Lookup'!$B:$B,0)),"")</f>
        <v/>
      </c>
      <c r="B34" s="3"/>
      <c r="C34" s="24"/>
      <c r="D34" s="24"/>
      <c r="E34" s="3"/>
      <c r="F34" s="3"/>
      <c r="G34" s="7" t="str">
        <f>IF(C34="","",C34*WeeklyCapacityHrs/100)</f>
        <v/>
      </c>
      <c r="H34" s="7" t="str">
        <f>IF(D34="","",D34*WeeklyCapacityHrs/100)</f>
        <v/>
      </c>
      <c r="I34" s="4" t="str">
        <f>IF(OR(C34="",D34=""),"",IF(D34&gt;C34,"Increasing",IF(D34&lt;C34,"Decreasing","Flat")))</f>
        <v/>
      </c>
      <c r="J34" s="3"/>
      <c r="K34" s="3"/>
      <c r="L34" s="3"/>
    </row>
    <row r="35" spans="1:12">
      <c r="A35" s="4" t="str">
        <f>IFERROR(INDEX('Project Lookup'!$A:$A,MATCH(B35,'Project Lookup'!$B:$B,0)),"")</f>
        <v/>
      </c>
      <c r="B35" s="3"/>
      <c r="C35" s="24"/>
      <c r="D35" s="24"/>
      <c r="E35" s="3"/>
      <c r="F35" s="3"/>
      <c r="G35" s="7" t="str">
        <f>IF(C35="","",C35*WeeklyCapacityHrs/100)</f>
        <v/>
      </c>
      <c r="H35" s="7" t="str">
        <f>IF(D35="","",D35*WeeklyCapacityHrs/100)</f>
        <v/>
      </c>
      <c r="I35" s="4" t="str">
        <f>IF(OR(C35="",D35=""),"",IF(D35&gt;C35,"Increasing",IF(D35&lt;C35,"Decreasing","Flat")))</f>
        <v/>
      </c>
      <c r="J35" s="3"/>
      <c r="K35" s="3"/>
      <c r="L35" s="3"/>
    </row>
    <row r="36" spans="1:12">
      <c r="A36" s="4" t="str">
        <f>IFERROR(INDEX('Project Lookup'!$A:$A,MATCH(B36,'Project Lookup'!$B:$B,0)),"")</f>
        <v/>
      </c>
      <c r="B36" s="3"/>
      <c r="C36" s="24"/>
      <c r="D36" s="24"/>
      <c r="E36" s="3"/>
      <c r="F36" s="3"/>
      <c r="G36" s="7" t="str">
        <f>IF(C36="","",C36*WeeklyCapacityHrs/100)</f>
        <v/>
      </c>
      <c r="H36" s="7" t="str">
        <f>IF(D36="","",D36*WeeklyCapacityHrs/100)</f>
        <v/>
      </c>
      <c r="I36" s="4" t="str">
        <f>IF(OR(C36="",D36=""),"",IF(D36&gt;C36,"Increasing",IF(D36&lt;C36,"Decreasing","Flat")))</f>
        <v/>
      </c>
      <c r="J36" s="3"/>
      <c r="K36" s="3"/>
      <c r="L36" s="3"/>
    </row>
    <row r="37" spans="1:12">
      <c r="A37" s="4" t="str">
        <f>IFERROR(INDEX('Project Lookup'!$A:$A,MATCH(B37,'Project Lookup'!$B:$B,0)),"")</f>
        <v/>
      </c>
      <c r="B37" s="3"/>
      <c r="C37" s="24"/>
      <c r="D37" s="24"/>
      <c r="E37" s="3"/>
      <c r="F37" s="3"/>
      <c r="G37" s="7" t="str">
        <f>IF(C37="","",C37*WeeklyCapacityHrs/100)</f>
        <v/>
      </c>
      <c r="H37" s="7" t="str">
        <f>IF(D37="","",D37*WeeklyCapacityHrs/100)</f>
        <v/>
      </c>
      <c r="I37" s="4" t="str">
        <f>IF(OR(C37="",D37=""),"",IF(D37&gt;C37,"Increasing",IF(D37&lt;C37,"Decreasing","Flat")))</f>
        <v/>
      </c>
      <c r="J37" s="3"/>
      <c r="K37" s="3"/>
      <c r="L37" s="3"/>
    </row>
    <row r="38" spans="1:12">
      <c r="A38" s="4" t="str">
        <f>IFERROR(INDEX('Project Lookup'!$A:$A,MATCH(B38,'Project Lookup'!$B:$B,0)),"")</f>
        <v/>
      </c>
      <c r="B38" s="3"/>
      <c r="C38" s="24"/>
      <c r="D38" s="24"/>
      <c r="E38" s="3"/>
      <c r="F38" s="3"/>
      <c r="G38" s="7" t="str">
        <f>IF(C38="","",C38*WeeklyCapacityHrs/100)</f>
        <v/>
      </c>
      <c r="H38" s="7" t="str">
        <f>IF(D38="","",D38*WeeklyCapacityHrs/100)</f>
        <v/>
      </c>
      <c r="I38" s="4" t="str">
        <f>IF(OR(C38="",D38=""),"",IF(D38&gt;C38,"Increasing",IF(D38&lt;C38,"Decreasing","Flat")))</f>
        <v/>
      </c>
      <c r="J38" s="3"/>
      <c r="K38" s="3"/>
      <c r="L38" s="3"/>
    </row>
    <row r="39" spans="1:12">
      <c r="A39" s="4" t="str">
        <f>IFERROR(INDEX('Project Lookup'!$A:$A,MATCH(B39,'Project Lookup'!$B:$B,0)),"")</f>
        <v/>
      </c>
      <c r="B39" s="3"/>
      <c r="C39" s="24"/>
      <c r="D39" s="24"/>
      <c r="E39" s="3"/>
      <c r="F39" s="3"/>
      <c r="G39" s="7" t="str">
        <f>IF(C39="","",C39*WeeklyCapacityHrs/100)</f>
        <v/>
      </c>
      <c r="H39" s="7" t="str">
        <f>IF(D39="","",D39*WeeklyCapacityHrs/100)</f>
        <v/>
      </c>
      <c r="I39" s="4" t="str">
        <f>IF(OR(C39="",D39=""),"",IF(D39&gt;C39,"Increasing",IF(D39&lt;C39,"Decreasing","Flat")))</f>
        <v/>
      </c>
      <c r="J39" s="3"/>
      <c r="K39" s="3"/>
      <c r="L39" s="3"/>
    </row>
    <row r="40" spans="1:12">
      <c r="A40" s="4" t="str">
        <f>IFERROR(INDEX('Project Lookup'!$A:$A,MATCH(B40,'Project Lookup'!$B:$B,0)),"")</f>
        <v/>
      </c>
      <c r="B40" s="3"/>
      <c r="C40" s="24"/>
      <c r="D40" s="24"/>
      <c r="E40" s="3"/>
      <c r="F40" s="3"/>
      <c r="G40" s="7" t="str">
        <f>IF(C40="","",C40*WeeklyCapacityHrs/100)</f>
        <v/>
      </c>
      <c r="H40" s="7" t="str">
        <f>IF(D40="","",D40*WeeklyCapacityHrs/100)</f>
        <v/>
      </c>
      <c r="I40" s="4" t="str">
        <f>IF(OR(C40="",D40=""),"",IF(D40&gt;C40,"Increasing",IF(D40&lt;C40,"Decreasing","Flat")))</f>
        <v/>
      </c>
      <c r="J40" s="3"/>
      <c r="K40" s="3"/>
      <c r="L40" s="3"/>
    </row>
    <row r="41" spans="1:12">
      <c r="A41" s="4" t="str">
        <f>IFERROR(INDEX('Project Lookup'!$A:$A,MATCH(B41,'Project Lookup'!$B:$B,0)),"")</f>
        <v/>
      </c>
      <c r="B41" s="3"/>
      <c r="C41" s="24"/>
      <c r="D41" s="24"/>
      <c r="E41" s="3"/>
      <c r="F41" s="3"/>
      <c r="G41" s="7" t="str">
        <f>IF(C41="","",C41*WeeklyCapacityHrs/100)</f>
        <v/>
      </c>
      <c r="H41" s="7" t="str">
        <f>IF(D41="","",D41*WeeklyCapacityHrs/100)</f>
        <v/>
      </c>
      <c r="I41" s="4" t="str">
        <f>IF(OR(C41="",D41=""),"",IF(D41&gt;C41,"Increasing",IF(D41&lt;C41,"Decreasing","Flat")))</f>
        <v/>
      </c>
      <c r="J41" s="3"/>
      <c r="K41" s="3"/>
      <c r="L41" s="3"/>
    </row>
    <row r="42" spans="1:12">
      <c r="A42" s="4" t="str">
        <f>IFERROR(INDEX('Project Lookup'!$A:$A,MATCH(B42,'Project Lookup'!$B:$B,0)),"")</f>
        <v/>
      </c>
      <c r="B42" s="3"/>
      <c r="C42" s="24"/>
      <c r="D42" s="24"/>
      <c r="E42" s="3"/>
      <c r="F42" s="3"/>
      <c r="G42" s="7" t="str">
        <f>IF(C42="","",C42*WeeklyCapacityHrs/100)</f>
        <v/>
      </c>
      <c r="H42" s="7" t="str">
        <f>IF(D42="","",D42*WeeklyCapacityHrs/100)</f>
        <v/>
      </c>
      <c r="I42" s="4" t="str">
        <f>IF(OR(C42="",D42=""),"",IF(D42&gt;C42,"Increasing",IF(D42&lt;C42,"Decreasing","Flat")))</f>
        <v/>
      </c>
      <c r="J42" s="3"/>
      <c r="K42" s="3"/>
      <c r="L42" s="3"/>
    </row>
    <row r="43" spans="1:12">
      <c r="A43" s="4" t="str">
        <f>IFERROR(INDEX('Project Lookup'!$A:$A,MATCH(B43,'Project Lookup'!$B:$B,0)),"")</f>
        <v/>
      </c>
      <c r="B43" s="3"/>
      <c r="C43" s="24"/>
      <c r="D43" s="24"/>
      <c r="E43" s="3"/>
      <c r="F43" s="3"/>
      <c r="G43" s="7" t="str">
        <f>IF(C43="","",C43*WeeklyCapacityHrs/100)</f>
        <v/>
      </c>
      <c r="H43" s="7" t="str">
        <f>IF(D43="","",D43*WeeklyCapacityHrs/100)</f>
        <v/>
      </c>
      <c r="I43" s="4" t="str">
        <f>IF(OR(C43="",D43=""),"",IF(D43&gt;C43,"Increasing",IF(D43&lt;C43,"Decreasing","Flat")))</f>
        <v/>
      </c>
      <c r="J43" s="3"/>
      <c r="K43" s="3"/>
      <c r="L43" s="3"/>
    </row>
    <row r="44" spans="1:12">
      <c r="A44" s="4" t="str">
        <f>IFERROR(INDEX('Project Lookup'!$A:$A,MATCH(B44,'Project Lookup'!$B:$B,0)),"")</f>
        <v/>
      </c>
      <c r="B44" s="3"/>
      <c r="C44" s="24"/>
      <c r="D44" s="24"/>
      <c r="E44" s="3"/>
      <c r="F44" s="3"/>
      <c r="G44" s="7" t="str">
        <f>IF(C44="","",C44*WeeklyCapacityHrs/100)</f>
        <v/>
      </c>
      <c r="H44" s="7" t="str">
        <f>IF(D44="","",D44*WeeklyCapacityHrs/100)</f>
        <v/>
      </c>
      <c r="I44" s="4" t="str">
        <f>IF(OR(C44="",D44=""),"",IF(D44&gt;C44,"Increasing",IF(D44&lt;C44,"Decreasing","Flat")))</f>
        <v/>
      </c>
      <c r="J44" s="3"/>
      <c r="K44" s="3"/>
      <c r="L44" s="3"/>
    </row>
    <row r="45" spans="1:12">
      <c r="A45" s="4" t="str">
        <f>IFERROR(INDEX('Project Lookup'!$A:$A,MATCH(B45,'Project Lookup'!$B:$B,0)),"")</f>
        <v/>
      </c>
      <c r="B45" s="3"/>
      <c r="C45" s="24"/>
      <c r="D45" s="24"/>
      <c r="E45" s="3"/>
      <c r="F45" s="3"/>
      <c r="G45" s="7" t="str">
        <f>IF(C45="","",C45*WeeklyCapacityHrs/100)</f>
        <v/>
      </c>
      <c r="H45" s="7" t="str">
        <f>IF(D45="","",D45*WeeklyCapacityHrs/100)</f>
        <v/>
      </c>
      <c r="I45" s="4" t="str">
        <f>IF(OR(C45="",D45=""),"",IF(D45&gt;C45,"Increasing",IF(D45&lt;C45,"Decreasing","Flat")))</f>
        <v/>
      </c>
      <c r="J45" s="3"/>
      <c r="K45" s="3"/>
      <c r="L45" s="3"/>
    </row>
    <row r="46" spans="1:12">
      <c r="A46" s="4" t="str">
        <f>IFERROR(INDEX('Project Lookup'!$A:$A,MATCH(B46,'Project Lookup'!$B:$B,0)),"")</f>
        <v/>
      </c>
      <c r="B46" s="3"/>
      <c r="C46" s="24"/>
      <c r="D46" s="24"/>
      <c r="E46" s="3"/>
      <c r="F46" s="3"/>
      <c r="G46" s="7" t="str">
        <f>IF(C46="","",C46*WeeklyCapacityHrs/100)</f>
        <v/>
      </c>
      <c r="H46" s="7" t="str">
        <f>IF(D46="","",D46*WeeklyCapacityHrs/100)</f>
        <v/>
      </c>
      <c r="I46" s="4" t="str">
        <f>IF(OR(C46="",D46=""),"",IF(D46&gt;C46,"Increasing",IF(D46&lt;C46,"Decreasing","Flat")))</f>
        <v/>
      </c>
      <c r="J46" s="3"/>
      <c r="K46" s="3"/>
      <c r="L46" s="3"/>
    </row>
    <row r="47" spans="1:12">
      <c r="A47" s="4" t="str">
        <f>IFERROR(INDEX('Project Lookup'!$A:$A,MATCH(B47,'Project Lookup'!$B:$B,0)),"")</f>
        <v/>
      </c>
      <c r="B47" s="3"/>
      <c r="C47" s="24"/>
      <c r="D47" s="24"/>
      <c r="E47" s="3"/>
      <c r="F47" s="3"/>
      <c r="G47" s="7" t="str">
        <f>IF(C47="","",C47*WeeklyCapacityHrs/100)</f>
        <v/>
      </c>
      <c r="H47" s="7" t="str">
        <f>IF(D47="","",D47*WeeklyCapacityHrs/100)</f>
        <v/>
      </c>
      <c r="I47" s="4" t="str">
        <f>IF(OR(C47="",D47=""),"",IF(D47&gt;C47,"Increasing",IF(D47&lt;C47,"Decreasing","Flat")))</f>
        <v/>
      </c>
      <c r="J47" s="3"/>
      <c r="K47" s="3"/>
      <c r="L47" s="3"/>
    </row>
    <row r="48" spans="1:12">
      <c r="A48" s="4" t="str">
        <f>IFERROR(INDEX('Project Lookup'!$A:$A,MATCH(B48,'Project Lookup'!$B:$B,0)),"")</f>
        <v/>
      </c>
      <c r="B48" s="3"/>
      <c r="C48" s="24"/>
      <c r="D48" s="24"/>
      <c r="E48" s="3"/>
      <c r="F48" s="3"/>
      <c r="G48" s="7" t="str">
        <f>IF(C48="","",C48*WeeklyCapacityHrs/100)</f>
        <v/>
      </c>
      <c r="H48" s="7" t="str">
        <f>IF(D48="","",D48*WeeklyCapacityHrs/100)</f>
        <v/>
      </c>
      <c r="I48" s="4" t="str">
        <f>IF(OR(C48="",D48=""),"",IF(D48&gt;C48,"Increasing",IF(D48&lt;C48,"Decreasing","Flat")))</f>
        <v/>
      </c>
      <c r="J48" s="3"/>
      <c r="K48" s="3"/>
      <c r="L48" s="3"/>
    </row>
    <row r="49" spans="1:12">
      <c r="A49" s="4" t="str">
        <f>IFERROR(INDEX('Project Lookup'!$A:$A,MATCH(B49,'Project Lookup'!$B:$B,0)),"")</f>
        <v/>
      </c>
      <c r="B49" s="3"/>
      <c r="C49" s="24"/>
      <c r="D49" s="24"/>
      <c r="E49" s="3"/>
      <c r="F49" s="3"/>
      <c r="G49" s="7" t="str">
        <f>IF(C49="","",C49*WeeklyCapacityHrs/100)</f>
        <v/>
      </c>
      <c r="H49" s="7" t="str">
        <f>IF(D49="","",D49*WeeklyCapacityHrs/100)</f>
        <v/>
      </c>
      <c r="I49" s="4" t="str">
        <f>IF(OR(C49="",D49=""),"",IF(D49&gt;C49,"Increasing",IF(D49&lt;C49,"Decreasing","Flat")))</f>
        <v/>
      </c>
      <c r="J49" s="3"/>
      <c r="K49" s="3"/>
      <c r="L49" s="3"/>
    </row>
    <row r="50" spans="1:12">
      <c r="A50" s="4" t="str">
        <f>IFERROR(INDEX('Project Lookup'!$A:$A,MATCH(B50,'Project Lookup'!$B:$B,0)),"")</f>
        <v/>
      </c>
      <c r="B50" s="3"/>
      <c r="C50" s="24"/>
      <c r="D50" s="24"/>
      <c r="E50" s="3"/>
      <c r="F50" s="3"/>
      <c r="G50" s="7" t="str">
        <f>IF(C50="","",C50*WeeklyCapacityHrs/100)</f>
        <v/>
      </c>
      <c r="H50" s="7" t="str">
        <f>IF(D50="","",D50*WeeklyCapacityHrs/100)</f>
        <v/>
      </c>
      <c r="I50" s="4" t="str">
        <f>IF(OR(C50="",D50=""),"",IF(D50&gt;C50,"Increasing",IF(D50&lt;C50,"Decreasing","Flat")))</f>
        <v/>
      </c>
      <c r="J50" s="3"/>
      <c r="K50" s="3"/>
      <c r="L50" s="3"/>
    </row>
    <row r="51" spans="1:12">
      <c r="A51" s="4" t="str">
        <f>IFERROR(INDEX('Project Lookup'!$A:$A,MATCH(B51,'Project Lookup'!$B:$B,0)),"")</f>
        <v/>
      </c>
      <c r="B51" s="3"/>
      <c r="C51" s="24"/>
      <c r="D51" s="24"/>
      <c r="E51" s="3"/>
      <c r="F51" s="3"/>
      <c r="G51" s="7" t="str">
        <f>IF(C51="","",C51*WeeklyCapacityHrs/100)</f>
        <v/>
      </c>
      <c r="H51" s="7" t="str">
        <f>IF(D51="","",D51*WeeklyCapacityHrs/100)</f>
        <v/>
      </c>
      <c r="I51" s="4" t="str">
        <f>IF(OR(C51="",D51=""),"",IF(D51&gt;C51,"Increasing",IF(D51&lt;C51,"Decreasing","Flat")))</f>
        <v/>
      </c>
      <c r="J51" s="3"/>
      <c r="K51" s="3"/>
      <c r="L51" s="3"/>
    </row>
    <row r="52" spans="1:12">
      <c r="A52" s="4" t="str">
        <f>IFERROR(INDEX('Project Lookup'!$A:$A,MATCH(B52,'Project Lookup'!$B:$B,0)),"")</f>
        <v/>
      </c>
      <c r="B52" s="3"/>
      <c r="C52" s="24"/>
      <c r="D52" s="24"/>
      <c r="E52" s="3"/>
      <c r="F52" s="3"/>
      <c r="G52" s="7" t="str">
        <f>IF(C52="","",C52*WeeklyCapacityHrs/100)</f>
        <v/>
      </c>
      <c r="H52" s="7" t="str">
        <f>IF(D52="","",D52*WeeklyCapacityHrs/100)</f>
        <v/>
      </c>
      <c r="I52" s="4" t="str">
        <f>IF(OR(C52="",D52=""),"",IF(D52&gt;C52,"Increasing",IF(D52&lt;C52,"Decreasing","Flat")))</f>
        <v/>
      </c>
      <c r="J52" s="3"/>
      <c r="K52" s="3"/>
      <c r="L52" s="3"/>
    </row>
    <row r="53" spans="1:12">
      <c r="A53" s="4" t="str">
        <f>IFERROR(INDEX('Project Lookup'!$A:$A,MATCH(B53,'Project Lookup'!$B:$B,0)),"")</f>
        <v/>
      </c>
      <c r="B53" s="3"/>
      <c r="C53" s="24"/>
      <c r="D53" s="24"/>
      <c r="E53" s="3"/>
      <c r="F53" s="3"/>
      <c r="G53" s="7" t="str">
        <f>IF(C53="","",C53*WeeklyCapacityHrs/100)</f>
        <v/>
      </c>
      <c r="H53" s="7" t="str">
        <f>IF(D53="","",D53*WeeklyCapacityHrs/100)</f>
        <v/>
      </c>
      <c r="I53" s="4" t="str">
        <f>IF(OR(C53="",D53=""),"",IF(D53&gt;C53,"Increasing",IF(D53&lt;C53,"Decreasing","Flat")))</f>
        <v/>
      </c>
      <c r="J53" s="3"/>
      <c r="K53" s="3"/>
      <c r="L53" s="3"/>
    </row>
    <row r="54" spans="1:12">
      <c r="A54" s="4" t="str">
        <f>IFERROR(INDEX('Project Lookup'!$A:$A,MATCH(B54,'Project Lookup'!$B:$B,0)),"")</f>
        <v/>
      </c>
      <c r="B54" s="3"/>
      <c r="C54" s="24"/>
      <c r="D54" s="24"/>
      <c r="E54" s="3"/>
      <c r="F54" s="3"/>
      <c r="G54" s="7" t="str">
        <f>IF(C54="","",C54*WeeklyCapacityHrs/100)</f>
        <v/>
      </c>
      <c r="H54" s="7" t="str">
        <f>IF(D54="","",D54*WeeklyCapacityHrs/100)</f>
        <v/>
      </c>
      <c r="I54" s="4" t="str">
        <f>IF(OR(C54="",D54=""),"",IF(D54&gt;C54,"Increasing",IF(D54&lt;C54,"Decreasing","Flat")))</f>
        <v/>
      </c>
      <c r="J54" s="3"/>
      <c r="K54" s="3"/>
      <c r="L54" s="3"/>
    </row>
    <row r="55" spans="1:12">
      <c r="A55" s="4" t="str">
        <f>IFERROR(INDEX('Project Lookup'!$A:$A,MATCH(B55,'Project Lookup'!$B:$B,0)),"")</f>
        <v/>
      </c>
      <c r="B55" s="3"/>
      <c r="C55" s="24"/>
      <c r="D55" s="24"/>
      <c r="E55" s="3"/>
      <c r="F55" s="3"/>
      <c r="G55" s="7" t="str">
        <f>IF(C55="","",C55*WeeklyCapacityHrs/100)</f>
        <v/>
      </c>
      <c r="H55" s="7" t="str">
        <f>IF(D55="","",D55*WeeklyCapacityHrs/100)</f>
        <v/>
      </c>
      <c r="I55" s="4" t="str">
        <f>IF(OR(C55="",D55=""),"",IF(D55&gt;C55,"Increasing",IF(D55&lt;C55,"Decreasing","Flat")))</f>
        <v/>
      </c>
      <c r="J55" s="3"/>
      <c r="K55" s="3"/>
      <c r="L55" s="3"/>
    </row>
    <row r="56" spans="1:12">
      <c r="A56" s="4" t="str">
        <f>IFERROR(INDEX('Project Lookup'!$A:$A,MATCH(B56,'Project Lookup'!$B:$B,0)),"")</f>
        <v/>
      </c>
      <c r="B56" s="3"/>
      <c r="C56" s="24"/>
      <c r="D56" s="24"/>
      <c r="E56" s="3"/>
      <c r="F56" s="3"/>
      <c r="G56" s="7" t="str">
        <f>IF(C56="","",C56*WeeklyCapacityHrs/100)</f>
        <v/>
      </c>
      <c r="H56" s="7" t="str">
        <f>IF(D56="","",D56*WeeklyCapacityHrs/100)</f>
        <v/>
      </c>
      <c r="I56" s="4" t="str">
        <f>IF(OR(C56="",D56=""),"",IF(D56&gt;C56,"Increasing",IF(D56&lt;C56,"Decreasing","Flat")))</f>
        <v/>
      </c>
      <c r="J56" s="3"/>
      <c r="K56" s="3"/>
      <c r="L56" s="3"/>
    </row>
    <row r="57" spans="1:12">
      <c r="A57" s="4" t="str">
        <f>IFERROR(INDEX('Project Lookup'!$A:$A,MATCH(B57,'Project Lookup'!$B:$B,0)),"")</f>
        <v/>
      </c>
      <c r="B57" s="3"/>
      <c r="C57" s="24"/>
      <c r="D57" s="24"/>
      <c r="E57" s="3"/>
      <c r="F57" s="3"/>
      <c r="G57" s="7" t="str">
        <f>IF(C57="","",C57*WeeklyCapacityHrs/100)</f>
        <v/>
      </c>
      <c r="H57" s="7" t="str">
        <f>IF(D57="","",D57*WeeklyCapacityHrs/100)</f>
        <v/>
      </c>
      <c r="I57" s="4" t="str">
        <f>IF(OR(C57="",D57=""),"",IF(D57&gt;C57,"Increasing",IF(D57&lt;C57,"Decreasing","Flat")))</f>
        <v/>
      </c>
      <c r="J57" s="3"/>
      <c r="K57" s="3"/>
      <c r="L57" s="3"/>
    </row>
    <row r="58" spans="1:12">
      <c r="A58" s="4" t="str">
        <f>IFERROR(INDEX('Project Lookup'!$A:$A,MATCH(B58,'Project Lookup'!$B:$B,0)),"")</f>
        <v/>
      </c>
      <c r="B58" s="3"/>
      <c r="C58" s="24"/>
      <c r="D58" s="24"/>
      <c r="E58" s="3"/>
      <c r="F58" s="3"/>
      <c r="G58" s="7" t="str">
        <f>IF(C58="","",C58*WeeklyCapacityHrs/100)</f>
        <v/>
      </c>
      <c r="H58" s="7" t="str">
        <f>IF(D58="","",D58*WeeklyCapacityHrs/100)</f>
        <v/>
      </c>
      <c r="I58" s="4" t="str">
        <f>IF(OR(C58="",D58=""),"",IF(D58&gt;C58,"Increasing",IF(D58&lt;C58,"Decreasing","Flat")))</f>
        <v/>
      </c>
      <c r="J58" s="3"/>
      <c r="K58" s="3"/>
      <c r="L58" s="3"/>
    </row>
    <row r="59" spans="1:12">
      <c r="A59" s="4" t="str">
        <f>IFERROR(INDEX('Project Lookup'!$A:$A,MATCH(B59,'Project Lookup'!$B:$B,0)),"")</f>
        <v/>
      </c>
      <c r="B59" s="3"/>
      <c r="C59" s="24"/>
      <c r="D59" s="24"/>
      <c r="E59" s="3"/>
      <c r="F59" s="3"/>
      <c r="G59" s="7" t="str">
        <f>IF(C59="","",C59*WeeklyCapacityHrs/100)</f>
        <v/>
      </c>
      <c r="H59" s="7" t="str">
        <f>IF(D59="","",D59*WeeklyCapacityHrs/100)</f>
        <v/>
      </c>
      <c r="I59" s="4" t="str">
        <f>IF(OR(C59="",D59=""),"",IF(D59&gt;C59,"Increasing",IF(D59&lt;C59,"Decreasing","Flat")))</f>
        <v/>
      </c>
      <c r="J59" s="3"/>
      <c r="K59" s="3"/>
      <c r="L59" s="3"/>
    </row>
    <row r="60" spans="1:12">
      <c r="A60" s="4" t="str">
        <f>IFERROR(INDEX('Project Lookup'!$A:$A,MATCH(B60,'Project Lookup'!$B:$B,0)),"")</f>
        <v/>
      </c>
      <c r="B60" s="3"/>
      <c r="C60" s="24"/>
      <c r="D60" s="24"/>
      <c r="E60" s="3"/>
      <c r="F60" s="3"/>
      <c r="G60" s="7" t="str">
        <f>IF(C60="","",C60*WeeklyCapacityHrs/100)</f>
        <v/>
      </c>
      <c r="H60" s="7" t="str">
        <f>IF(D60="","",D60*WeeklyCapacityHrs/100)</f>
        <v/>
      </c>
      <c r="I60" s="4" t="str">
        <f>IF(OR(C60="",D60=""),"",IF(D60&gt;C60,"Increasing",IF(D60&lt;C60,"Decreasing","Flat")))</f>
        <v/>
      </c>
      <c r="J60" s="3"/>
      <c r="K60" s="3"/>
      <c r="L60" s="3"/>
    </row>
    <row r="61" spans="1:12">
      <c r="A61" s="4" t="str">
        <f>IFERROR(INDEX('Project Lookup'!$A:$A,MATCH(B61,'Project Lookup'!$B:$B,0)),"")</f>
        <v/>
      </c>
      <c r="B61" s="3"/>
      <c r="C61" s="24"/>
      <c r="D61" s="24"/>
      <c r="E61" s="3"/>
      <c r="F61" s="3"/>
      <c r="G61" s="7" t="str">
        <f>IF(C61="","",C61*WeeklyCapacityHrs/100)</f>
        <v/>
      </c>
      <c r="H61" s="7" t="str">
        <f>IF(D61="","",D61*WeeklyCapacityHrs/100)</f>
        <v/>
      </c>
      <c r="I61" s="4" t="str">
        <f>IF(OR(C61="",D61=""),"",IF(D61&gt;C61,"Increasing",IF(D61&lt;C61,"Decreasing","Flat")))</f>
        <v/>
      </c>
      <c r="J61" s="3"/>
      <c r="K61" s="3"/>
      <c r="L61" s="3"/>
    </row>
    <row r="62" spans="1:12">
      <c r="A62" s="4" t="str">
        <f>IFERROR(INDEX('Project Lookup'!$A:$A,MATCH(B62,'Project Lookup'!$B:$B,0)),"")</f>
        <v/>
      </c>
      <c r="B62" s="3"/>
      <c r="C62" s="24"/>
      <c r="D62" s="24"/>
      <c r="E62" s="3"/>
      <c r="F62" s="3"/>
      <c r="G62" s="7" t="str">
        <f>IF(C62="","",C62*WeeklyCapacityHrs/100)</f>
        <v/>
      </c>
      <c r="H62" s="7" t="str">
        <f>IF(D62="","",D62*WeeklyCapacityHrs/100)</f>
        <v/>
      </c>
      <c r="I62" s="4" t="str">
        <f>IF(OR(C62="",D62=""),"",IF(D62&gt;C62,"Increasing",IF(D62&lt;C62,"Decreasing","Flat")))</f>
        <v/>
      </c>
      <c r="J62" s="3"/>
      <c r="K62" s="3"/>
      <c r="L62" s="3"/>
    </row>
    <row r="63" spans="1:12">
      <c r="A63" s="4" t="str">
        <f>IFERROR(INDEX('Project Lookup'!$A:$A,MATCH(B63,'Project Lookup'!$B:$B,0)),"")</f>
        <v/>
      </c>
      <c r="B63" s="3"/>
      <c r="C63" s="24"/>
      <c r="D63" s="24"/>
      <c r="E63" s="3"/>
      <c r="F63" s="3"/>
      <c r="G63" s="7" t="str">
        <f>IF(C63="","",C63*WeeklyCapacityHrs/100)</f>
        <v/>
      </c>
      <c r="H63" s="7" t="str">
        <f>IF(D63="","",D63*WeeklyCapacityHrs/100)</f>
        <v/>
      </c>
      <c r="I63" s="4" t="str">
        <f>IF(OR(C63="",D63=""),"",IF(D63&gt;C63,"Increasing",IF(D63&lt;C63,"Decreasing","Flat")))</f>
        <v/>
      </c>
      <c r="J63" s="3"/>
      <c r="K63" s="3"/>
      <c r="L63" s="3"/>
    </row>
    <row r="64" spans="1:12">
      <c r="A64" s="19" t="s">
        <v>133</v>
      </c>
      <c r="C64" s="25">
        <f>SUM(C4:C63)</f>
        <v>0</v>
      </c>
      <c r="D64" s="25">
        <f>SUM(D4:D63)</f>
        <v>0</v>
      </c>
      <c r="G64" s="20">
        <f>SUM(G4:G63)</f>
        <v>0</v>
      </c>
      <c r="H64" s="20">
        <f>SUM(H4:H63)</f>
        <v>0</v>
      </c>
    </row>
  </sheetData>
  <conditionalFormatting sqref="C4:D63">
    <cfRule type="cellIs" dxfId="5" priority="1" operator="greaterThan">
      <formula>100</formula>
    </cfRule>
  </conditionalFormatting>
  <conditionalFormatting sqref="E4:E63">
    <cfRule type="expression" dxfId="4" priority="2">
      <formula>E4="Low"</formula>
    </cfRule>
  </conditionalFormatting>
  <conditionalFormatting sqref="F4:F63">
    <cfRule type="expression" dxfId="3" priority="3">
      <formula>F4="Weak Match"</formula>
    </cfRule>
  </conditionalFormatting>
  <dataValidations count="4">
    <dataValidation type="list" allowBlank="1" sqref="B4:B63" xr:uid="{00000000-0002-0000-0300-000000000000}">
      <formula1>ProjectNames</formula1>
    </dataValidation>
    <dataValidation type="list" allowBlank="1" sqref="E4:E63" xr:uid="{00000000-0002-0000-0300-000001000000}">
      <formula1>"High,Medium,Low"</formula1>
    </dataValidation>
    <dataValidation type="list" allowBlank="1" sqref="F4:F63" xr:uid="{00000000-0002-0000-0300-000002000000}">
      <formula1>"Strong Match,Moderate Match,Weak Match,Unknown / Not Sure"</formula1>
    </dataValidation>
    <dataValidation type="whole" allowBlank="1" errorTitle="Allocation input check" error="Enter a whole number 0-150 (example: 25 for 25%). Values above 100 are allowed only to show over-allocation." sqref="C4:D63" xr:uid="{00000000-0002-0000-0300-000003000000}">
      <formula1>0</formula1>
      <formula2>150</formula2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showGridLines="0" workbookViewId="0">
      <pane ySplit="2" topLeftCell="A3" activePane="bottomLeft" state="frozen"/>
      <selection pane="bottomLeft" activeCell="D4" sqref="D4"/>
    </sheetView>
  </sheetViews>
  <sheetFormatPr defaultRowHeight="15"/>
  <cols>
    <col min="1" max="1" width="30" customWidth="1"/>
    <col min="2" max="2" width="55" customWidth="1"/>
    <col min="3" max="3" width="18" customWidth="1"/>
    <col min="4" max="4" width="19.7109375" customWidth="1"/>
    <col min="5" max="5" width="24" customWidth="1"/>
    <col min="6" max="7" width="45" customWidth="1"/>
  </cols>
  <sheetData>
    <row r="1" spans="1:6">
      <c r="A1" s="30" t="s">
        <v>134</v>
      </c>
      <c r="B1" s="1"/>
      <c r="C1" s="1"/>
      <c r="D1" s="1"/>
      <c r="E1" s="1"/>
      <c r="F1" s="1"/>
    </row>
    <row r="2" spans="1:6">
      <c r="A2" s="1" t="s">
        <v>135</v>
      </c>
      <c r="B2" s="1"/>
      <c r="C2" s="1"/>
      <c r="D2" s="1"/>
      <c r="E2" s="1"/>
      <c r="F2" s="1"/>
    </row>
    <row r="3" spans="1:6">
      <c r="A3" s="26" t="s">
        <v>136</v>
      </c>
      <c r="B3" s="26" t="s">
        <v>137</v>
      </c>
      <c r="C3" s="26" t="s">
        <v>138</v>
      </c>
      <c r="D3" s="26" t="s">
        <v>139</v>
      </c>
      <c r="E3" s="26" t="s">
        <v>140</v>
      </c>
      <c r="F3" s="26" t="s">
        <v>41</v>
      </c>
    </row>
    <row r="4" spans="1:6">
      <c r="A4" s="3"/>
      <c r="B4" s="3"/>
      <c r="C4" s="3"/>
      <c r="D4" s="8"/>
      <c r="E4" s="3"/>
      <c r="F4" s="3"/>
    </row>
    <row r="5" spans="1:6">
      <c r="A5" s="3"/>
      <c r="B5" s="3"/>
      <c r="C5" s="3"/>
      <c r="D5" s="8"/>
      <c r="E5" s="3"/>
      <c r="F5" s="3"/>
    </row>
    <row r="6" spans="1:6">
      <c r="A6" s="3"/>
      <c r="B6" s="3"/>
      <c r="C6" s="3"/>
      <c r="D6" s="8"/>
      <c r="E6" s="3"/>
      <c r="F6" s="3"/>
    </row>
    <row r="7" spans="1:6">
      <c r="A7" s="3"/>
      <c r="B7" s="3"/>
      <c r="C7" s="3"/>
      <c r="D7" s="8"/>
      <c r="E7" s="3"/>
      <c r="F7" s="3"/>
    </row>
    <row r="8" spans="1:6">
      <c r="A8" s="3"/>
      <c r="B8" s="3"/>
      <c r="C8" s="3"/>
      <c r="D8" s="8"/>
      <c r="E8" s="3"/>
      <c r="F8" s="3"/>
    </row>
    <row r="9" spans="1:6">
      <c r="A9" s="3"/>
      <c r="B9" s="3"/>
      <c r="C9" s="3"/>
      <c r="D9" s="8"/>
      <c r="E9" s="3"/>
      <c r="F9" s="3"/>
    </row>
    <row r="10" spans="1:6">
      <c r="A10" s="3"/>
      <c r="B10" s="3"/>
      <c r="C10" s="3"/>
      <c r="D10" s="8"/>
      <c r="E10" s="3"/>
      <c r="F10" s="3"/>
    </row>
    <row r="11" spans="1:6">
      <c r="A11" s="3"/>
      <c r="B11" s="3"/>
      <c r="C11" s="3"/>
      <c r="D11" s="8"/>
      <c r="E11" s="3"/>
      <c r="F11" s="3"/>
    </row>
    <row r="12" spans="1:6">
      <c r="A12" s="3"/>
      <c r="B12" s="3"/>
      <c r="C12" s="3"/>
      <c r="D12" s="8"/>
      <c r="E12" s="3"/>
      <c r="F12" s="3"/>
    </row>
    <row r="13" spans="1:6">
      <c r="A13" s="3"/>
      <c r="B13" s="3"/>
      <c r="C13" s="3"/>
      <c r="D13" s="8"/>
      <c r="E13" s="3"/>
      <c r="F13" s="3"/>
    </row>
    <row r="14" spans="1:6">
      <c r="A14" s="3"/>
      <c r="B14" s="3"/>
      <c r="C14" s="3"/>
      <c r="D14" s="8"/>
      <c r="E14" s="3"/>
      <c r="F14" s="3"/>
    </row>
    <row r="15" spans="1:6">
      <c r="A15" s="3"/>
      <c r="B15" s="3"/>
      <c r="C15" s="3"/>
      <c r="D15" s="8"/>
      <c r="E15" s="3"/>
      <c r="F15" s="3"/>
    </row>
    <row r="16" spans="1:6">
      <c r="A16" s="3"/>
      <c r="B16" s="3"/>
      <c r="C16" s="3"/>
      <c r="D16" s="8"/>
      <c r="E16" s="3"/>
      <c r="F16" s="3"/>
    </row>
    <row r="17" spans="1:6">
      <c r="A17" s="3"/>
      <c r="B17" s="3"/>
      <c r="C17" s="3"/>
      <c r="D17" s="8"/>
      <c r="E17" s="3"/>
      <c r="F17" s="3"/>
    </row>
    <row r="18" spans="1:6">
      <c r="A18" s="3"/>
      <c r="B18" s="3"/>
      <c r="C18" s="3"/>
      <c r="D18" s="8"/>
      <c r="E18" s="3"/>
      <c r="F18" s="3"/>
    </row>
    <row r="19" spans="1:6">
      <c r="A19" s="3"/>
      <c r="B19" s="3"/>
      <c r="C19" s="3"/>
      <c r="D19" s="8"/>
      <c r="E19" s="3"/>
      <c r="F19" s="3"/>
    </row>
    <row r="20" spans="1:6">
      <c r="A20" s="3"/>
      <c r="B20" s="3"/>
      <c r="C20" s="3"/>
      <c r="D20" s="8"/>
      <c r="E20" s="3"/>
      <c r="F20" s="3"/>
    </row>
    <row r="21" spans="1:6">
      <c r="A21" s="3"/>
      <c r="B21" s="3"/>
      <c r="C21" s="3"/>
      <c r="D21" s="8"/>
      <c r="E21" s="3"/>
      <c r="F21" s="3"/>
    </row>
    <row r="22" spans="1:6">
      <c r="A22" s="3"/>
      <c r="B22" s="3"/>
      <c r="C22" s="3"/>
      <c r="D22" s="8"/>
      <c r="E22" s="3"/>
      <c r="F22" s="3"/>
    </row>
    <row r="23" spans="1:6">
      <c r="A23" s="3"/>
      <c r="B23" s="3"/>
      <c r="C23" s="3"/>
      <c r="D23" s="8"/>
      <c r="E23" s="3"/>
      <c r="F23" s="3"/>
    </row>
    <row r="24" spans="1:6">
      <c r="A24" s="3"/>
      <c r="B24" s="3"/>
      <c r="C24" s="3"/>
      <c r="D24" s="8"/>
      <c r="E24" s="3"/>
      <c r="F24" s="3"/>
    </row>
    <row r="25" spans="1:6">
      <c r="A25" s="3"/>
      <c r="B25" s="3"/>
      <c r="C25" s="3"/>
      <c r="D25" s="8"/>
      <c r="E25" s="3"/>
      <c r="F25" s="3"/>
    </row>
    <row r="26" spans="1:6">
      <c r="A26" s="3"/>
      <c r="B26" s="3"/>
      <c r="C26" s="3"/>
      <c r="D26" s="8"/>
      <c r="E26" s="3"/>
      <c r="F26" s="3"/>
    </row>
    <row r="27" spans="1:6">
      <c r="A27" s="3"/>
      <c r="B27" s="3"/>
      <c r="C27" s="3"/>
      <c r="D27" s="8"/>
      <c r="E27" s="3"/>
      <c r="F27" s="3"/>
    </row>
    <row r="28" spans="1:6">
      <c r="A28" s="3"/>
      <c r="B28" s="3"/>
      <c r="C28" s="3"/>
      <c r="D28" s="8"/>
      <c r="E28" s="3"/>
      <c r="F28" s="3"/>
    </row>
    <row r="29" spans="1:6">
      <c r="A29" s="3"/>
      <c r="B29" s="3"/>
      <c r="C29" s="3"/>
      <c r="D29" s="8"/>
      <c r="E29" s="3"/>
      <c r="F29" s="3"/>
    </row>
    <row r="30" spans="1:6">
      <c r="A30" s="3"/>
      <c r="B30" s="3"/>
      <c r="C30" s="3"/>
      <c r="D30" s="8"/>
      <c r="E30" s="3"/>
      <c r="F30" s="3"/>
    </row>
    <row r="31" spans="1:6">
      <c r="A31" s="3"/>
      <c r="B31" s="3"/>
      <c r="C31" s="3"/>
      <c r="D31" s="8"/>
      <c r="E31" s="3"/>
      <c r="F31" s="3"/>
    </row>
    <row r="32" spans="1:6">
      <c r="A32" s="3"/>
      <c r="B32" s="3"/>
      <c r="C32" s="3"/>
      <c r="D32" s="8"/>
      <c r="E32" s="3"/>
      <c r="F32" s="3"/>
    </row>
    <row r="33" spans="1:6">
      <c r="A33" s="3"/>
      <c r="B33" s="3"/>
      <c r="C33" s="3"/>
      <c r="D33" s="8"/>
      <c r="E33" s="3"/>
      <c r="F33" s="3"/>
    </row>
  </sheetData>
  <dataValidations count="2">
    <dataValidation type="list" allowBlank="1" sqref="A4:A33" xr:uid="{00000000-0002-0000-0400-000000000000}">
      <formula1>"Daily / Recurring Tasks,Meetings / Ceremonies,Support / Incident Response,Maintenance,Admin / Compliance,People / Hiring / Onboarding,Other"</formula1>
    </dataValidation>
    <dataValidation type="list" allowBlank="1" sqref="C4:C33" xr:uid="{00000000-0002-0000-0400-000001000000}">
      <formula1>"Daily,Weekly,Bi-weekly,Monthly,Quarterly,As needed"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showGridLines="0" workbookViewId="0"/>
  </sheetViews>
  <sheetFormatPr defaultRowHeight="15"/>
  <cols>
    <col min="1" max="1" width="42" customWidth="1"/>
    <col min="2" max="2" width="18" customWidth="1"/>
    <col min="3" max="3" width="20" customWidth="1"/>
    <col min="4" max="4" width="28" customWidth="1"/>
  </cols>
  <sheetData>
    <row r="1" spans="1:4">
      <c r="A1" s="17" t="s">
        <v>141</v>
      </c>
    </row>
    <row r="2" spans="1:4">
      <c r="A2" s="12" t="s">
        <v>142</v>
      </c>
    </row>
    <row r="4" spans="1:4">
      <c r="A4" s="21" t="s">
        <v>143</v>
      </c>
      <c r="B4" s="21" t="s">
        <v>144</v>
      </c>
      <c r="C4" s="21" t="s">
        <v>145</v>
      </c>
      <c r="D4" s="21" t="s">
        <v>146</v>
      </c>
    </row>
    <row r="5" spans="1:4">
      <c r="A5" s="9" t="s">
        <v>147</v>
      </c>
      <c r="B5" s="7">
        <f>WeeklyCapacityHrs</f>
        <v>40</v>
      </c>
      <c r="C5" s="9" t="s">
        <v>148</v>
      </c>
      <c r="D5" s="6"/>
    </row>
    <row r="6" spans="1:4">
      <c r="A6" s="9" t="s">
        <v>149</v>
      </c>
      <c r="B6" s="27">
        <f>SUM('Project Allocations'!C4:C63)</f>
        <v>0</v>
      </c>
      <c r="C6" s="9" t="s">
        <v>150</v>
      </c>
      <c r="D6" s="6" t="str">
        <f>IF(B6&gt;100,"Over 100% - review",IF(B6&gt;=80,"Watch","Healthy"))</f>
        <v>Healthy</v>
      </c>
    </row>
    <row r="7" spans="1:4">
      <c r="A7" s="9" t="s">
        <v>151</v>
      </c>
      <c r="B7" s="7">
        <f>B6*B5/100</f>
        <v>0</v>
      </c>
      <c r="C7" s="9" t="s">
        <v>152</v>
      </c>
      <c r="D7" s="6"/>
    </row>
    <row r="8" spans="1:4">
      <c r="A8" s="9" t="s">
        <v>153</v>
      </c>
      <c r="B8" s="27">
        <f>SUM('Project Allocations'!D4:D63)</f>
        <v>0</v>
      </c>
      <c r="C8" s="9" t="s">
        <v>150</v>
      </c>
      <c r="D8" s="6" t="str">
        <f>IF(B8&gt;100,"Over 100% - review",IF(B8&gt;=80,"Watch","Healthy"))</f>
        <v>Healthy</v>
      </c>
    </row>
    <row r="9" spans="1:4">
      <c r="A9" s="9" t="s">
        <v>154</v>
      </c>
      <c r="B9" s="7">
        <f>B8*B5/100</f>
        <v>0</v>
      </c>
      <c r="C9" s="9" t="s">
        <v>152</v>
      </c>
      <c r="D9" s="6"/>
    </row>
    <row r="10" spans="1:4">
      <c r="A10" s="9" t="s">
        <v>155</v>
      </c>
      <c r="B10" s="27">
        <f>B8-B6</f>
        <v>0</v>
      </c>
      <c r="C10" s="9" t="s">
        <v>156</v>
      </c>
      <c r="D10" s="6"/>
    </row>
    <row r="11" spans="1:4">
      <c r="A11" s="9" t="s">
        <v>157</v>
      </c>
      <c r="B11" s="23">
        <f>COUNTIF('Project Allocations'!E4:E63,"Low")</f>
        <v>0</v>
      </c>
      <c r="C11" s="9" t="s">
        <v>158</v>
      </c>
      <c r="D11" s="6" t="str">
        <f>IF(B11&gt;0,"Review","")</f>
        <v/>
      </c>
    </row>
    <row r="12" spans="1:4">
      <c r="A12" s="9" t="s">
        <v>159</v>
      </c>
      <c r="B12" s="23">
        <f>COUNTIF('Project Allocations'!F4:F63,"Weak Match")</f>
        <v>0</v>
      </c>
      <c r="C12" s="9" t="s">
        <v>158</v>
      </c>
      <c r="D12" s="6" t="str">
        <f>IF(B12&gt;0,"Review","")</f>
        <v/>
      </c>
    </row>
    <row r="14" spans="1:4">
      <c r="A14" s="22" t="s">
        <v>160</v>
      </c>
    </row>
    <row r="15" spans="1:4">
      <c r="A15" s="12" t="s">
        <v>161</v>
      </c>
    </row>
    <row r="16" spans="1:4">
      <c r="A16" s="12" t="s">
        <v>162</v>
      </c>
    </row>
    <row r="17" spans="1:1">
      <c r="A17" s="12" t="s">
        <v>163</v>
      </c>
    </row>
    <row r="18" spans="1:1">
      <c r="A18" s="12" t="s">
        <v>164</v>
      </c>
    </row>
  </sheetData>
  <conditionalFormatting sqref="D5:D12">
    <cfRule type="expression" dxfId="2" priority="1">
      <formula>ISNUMBER(SEARCH("Over",D5))</formula>
    </cfRule>
    <cfRule type="expression" dxfId="1" priority="2">
      <formula>ISNUMBER(SEARCH("Watch",D5))</formula>
    </cfRule>
    <cfRule type="expression" dxfId="0" priority="3">
      <formula>D5="Healthy"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Mickowski, Dustin (Consultant)</dc:creator>
  <cp:keywords/>
  <dc:description/>
  <cp:lastModifiedBy/>
  <cp:revision/>
  <dcterms:created xsi:type="dcterms:W3CDTF">2026-07-15T18:33:01Z</dcterms:created>
  <dcterms:modified xsi:type="dcterms:W3CDTF">2026-07-20T16:32:55Z</dcterms:modified>
  <cp:category/>
  <cp:contentStatus/>
</cp:coreProperties>
</file>